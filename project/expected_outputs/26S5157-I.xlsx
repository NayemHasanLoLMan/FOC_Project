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YMX/"/>
    </mc:Choice>
  </mc:AlternateContent>
  <xr:revisionPtr revIDLastSave="25" documentId="8_{09425805-6588-4D8A-A7E3-4C3ED3A12C90}" xr6:coauthVersionLast="47" xr6:coauthVersionMax="47" xr10:uidLastSave="{EBD55F5B-D75F-4B99-AE7F-14C9A5DEC4BF}"/>
  <bookViews>
    <workbookView xWindow="-120" yWindow="-120" windowWidth="20730" windowHeight="11040" firstSheet="3" activeTab="3" xr2:uid="{00000000-000D-0000-FFFF-FFFF00000000}"/>
  </bookViews>
  <sheets>
    <sheet name="IBC (NEW)" sheetId="1" r:id="rId1"/>
    <sheet name="UTC" sheetId="3" r:id="rId2"/>
    <sheet name="JANCO" sheetId="2" r:id="rId3"/>
    <sheet name="CUSTOM  INVOICE" sheetId="4" r:id="rId4"/>
    <sheet name="YMX" sheetId="10" r:id="rId5"/>
    <sheet name="JANCO EXPRESS" sheetId="9" r:id="rId6"/>
    <sheet name="KLT" sheetId="6" r:id="rId7"/>
    <sheet name="DREAMCO" sheetId="5" r:id="rId8"/>
    <sheet name="ROYALE " sheetId="7" r:id="rId9"/>
    <sheet name="RPX " sheetId="8" r:id="rId10"/>
  </sheets>
  <definedNames>
    <definedName name="___UTC2" localSheetId="4" hidden="1">#REF!</definedName>
    <definedName name="___UTC2" hidden="1">#REF!</definedName>
    <definedName name="_DA120" localSheetId="4" hidden="1">#REF!</definedName>
    <definedName name="_DA120" hidden="1">#REF!</definedName>
    <definedName name="_Key1" localSheetId="0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5" hidden="1">#REF!</definedName>
    <definedName name="_Key2" localSheetId="4" hidden="1">#REF!</definedName>
    <definedName name="_Key2" hidden="1">#REF!</definedName>
    <definedName name="_Sort" localSheetId="0" hidden="1">#REF!</definedName>
    <definedName name="_Sort" localSheetId="5" hidden="1">#REF!</definedName>
    <definedName name="_Sort" localSheetId="4" hidden="1">#REF!</definedName>
    <definedName name="_Sort" hidden="1">#REF!</definedName>
    <definedName name="_UTC2" localSheetId="0" hidden="1">#REF!</definedName>
    <definedName name="_UTC2" localSheetId="6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localSheetId="0" hidden="1">#REF!</definedName>
    <definedName name="BANK" localSheetId="6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8">'ROYALE '!$A$1:$I$36</definedName>
    <definedName name="UTC" localSheetId="4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G12" i="6"/>
  <c r="B18" i="6"/>
  <c r="G11" i="6"/>
  <c r="E25" i="10"/>
  <c r="A25" i="10"/>
  <c r="A24" i="10"/>
  <c r="A23" i="10"/>
  <c r="A20" i="10"/>
  <c r="H11" i="10"/>
  <c r="B13" i="10"/>
  <c r="B12" i="10"/>
  <c r="B11" i="10"/>
  <c r="B9" i="10"/>
  <c r="C7" i="10"/>
  <c r="I6" i="10"/>
  <c r="G4" i="5" l="1"/>
  <c r="G5" i="5"/>
  <c r="G6" i="5"/>
  <c r="G7" i="5"/>
  <c r="A24" i="9"/>
  <c r="A25" i="9"/>
  <c r="A26" i="9"/>
  <c r="A20" i="9" l="1"/>
  <c r="A23" i="9" l="1"/>
  <c r="I8" i="9"/>
  <c r="B13" i="9"/>
  <c r="B12" i="9"/>
  <c r="B11" i="9"/>
  <c r="B9" i="9"/>
  <c r="B7" i="9"/>
  <c r="H15" i="9"/>
  <c r="N31" i="10" l="1"/>
  <c r="N32" i="9" l="1"/>
  <c r="B18" i="5"/>
  <c r="D31" i="2" l="1"/>
  <c r="E39" i="3"/>
  <c r="B11" i="3" l="1"/>
  <c r="A15" i="8" l="1"/>
  <c r="B8" i="8"/>
  <c r="B7" i="8"/>
  <c r="B6" i="8"/>
  <c r="G5" i="8"/>
  <c r="G3" i="8"/>
  <c r="E3" i="8"/>
  <c r="A26" i="7"/>
  <c r="A25" i="7"/>
  <c r="B24" i="7"/>
  <c r="B18" i="7"/>
  <c r="F12" i="7"/>
  <c r="D19" i="6"/>
  <c r="B11" i="6"/>
  <c r="G10" i="6"/>
  <c r="B10" i="6"/>
  <c r="G9" i="6"/>
  <c r="B9" i="6"/>
  <c r="G6" i="6"/>
  <c r="G4" i="6"/>
  <c r="H18" i="5"/>
  <c r="D16" i="5"/>
  <c r="B5" i="5"/>
  <c r="B4" i="5"/>
  <c r="G3" i="5"/>
  <c r="B3" i="5"/>
  <c r="E20" i="8"/>
  <c r="B32" i="3"/>
  <c r="B31" i="3"/>
  <c r="F27" i="3"/>
  <c r="E27" i="3"/>
  <c r="B10" i="3"/>
  <c r="B9" i="3"/>
  <c r="B8" i="3"/>
  <c r="B5" i="3"/>
  <c r="B4" i="3"/>
  <c r="I3" i="3"/>
  <c r="B3" i="3"/>
  <c r="A33" i="2"/>
  <c r="A31" i="2"/>
  <c r="A30" i="2"/>
  <c r="A29" i="2"/>
  <c r="D27" i="2"/>
  <c r="A12" i="2"/>
  <c r="A11" i="2"/>
  <c r="A10" i="2"/>
  <c r="A9" i="2"/>
  <c r="B26" i="1"/>
  <c r="I16" i="1"/>
  <c r="E15" i="1"/>
  <c r="B4" i="1"/>
  <c r="H3" i="1"/>
  <c r="B3" i="1"/>
  <c r="H2" i="1"/>
  <c r="B2" i="1"/>
  <c r="H1" i="1"/>
  <c r="B28" i="6" l="1"/>
  <c r="H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  <comment ref="B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 CONTACT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1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NOTIFY
</t>
        </r>
      </text>
    </comment>
    <comment ref="E2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PKG
</t>
        </r>
      </text>
    </comment>
    <comment ref="G22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DESCRIPTION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7" authorId="0" shapeId="0" xr:uid="{4B5771F6-BF33-4016-A505-4C511DC8F141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7" authorId="0" shapeId="0" xr:uid="{10988B6E-F5D6-4534-BCFF-606F0F764810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D1" authorId="0" shapeId="0" xr:uid="{A0ECF11B-6538-4860-8FE3-A22238470B0E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A6" authorId="0" shapeId="0" xr:uid="{5C7724D5-9FDE-41F5-AB06-12A9E0B73C7E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I6" authorId="0" shapeId="0" xr:uid="{00F0337C-7BA1-4E7B-A403-F53D5FE7FEAB}">
      <text>
        <r>
          <rPr>
            <b/>
            <sz val="8"/>
            <color indexed="81"/>
            <rFont val="Tahoma"/>
            <family val="2"/>
          </rPr>
          <t>NUMBER OF PKGS</t>
        </r>
      </text>
    </comment>
    <comment ref="H10" authorId="0" shapeId="0" xr:uid="{F9E2C025-CF05-4699-914F-946FD20340E4}">
      <text>
        <r>
          <rPr>
            <b/>
            <sz val="8"/>
            <color indexed="81"/>
            <rFont val="Tahoma"/>
            <family val="2"/>
          </rPr>
          <t>DETAILS OF GOODS</t>
        </r>
      </text>
    </comment>
    <comment ref="A20" authorId="0" shapeId="0" xr:uid="{A2E595D7-6D6C-4153-9BC7-3CB532F2DEE7}">
      <text>
        <r>
          <rPr>
            <b/>
            <sz val="8"/>
            <color indexed="81"/>
            <rFont val="Tahoma"/>
            <family val="2"/>
          </rPr>
          <t>COMPANY NAME</t>
        </r>
      </text>
    </comment>
    <comment ref="A23" authorId="0" shapeId="0" xr:uid="{3284DB17-B8DF-4D9C-8F45-B67564590537}">
      <text>
        <r>
          <rPr>
            <b/>
            <sz val="8"/>
            <color indexed="81"/>
            <rFont val="Tahoma"/>
            <family val="2"/>
          </rPr>
          <t>ADDRESS</t>
        </r>
      </text>
    </comment>
    <comment ref="N31" authorId="0" shapeId="0" xr:uid="{64601941-C1D2-43D6-8F52-8A63FC0ED74B}">
      <text>
        <r>
          <rPr>
            <b/>
            <sz val="8"/>
            <color indexed="81"/>
            <rFont val="Tahoma"/>
            <family val="2"/>
          </rPr>
          <t>DATE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D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A6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I8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NUMBER OF PKGS</t>
        </r>
      </text>
    </comment>
    <comment ref="H14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DETAILS OF GOODS</t>
        </r>
      </text>
    </comment>
    <comment ref="A20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COMPANY NAME</t>
        </r>
      </text>
    </comment>
    <comment ref="A23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ADDRESS</t>
        </r>
      </text>
    </comment>
    <comment ref="N32" authorId="0" shapeId="0" xr:uid="{00000000-0006-0000-0400-000007000000}">
      <text>
        <r>
          <rPr>
            <b/>
            <sz val="8"/>
            <color indexed="81"/>
            <rFont val="Tahoma"/>
            <family val="2"/>
          </rPr>
          <t>DATE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2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  <comment ref="B8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 CONTACT
</t>
        </r>
      </text>
    </comment>
    <comment ref="E16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PKG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</author>
    <author>Janet</author>
  </authors>
  <commentList>
    <comment ref="E5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SPECIAL REQUEST:</t>
        </r>
      </text>
    </comment>
    <comment ref="B7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SHIPPER'S NAME
</t>
        </r>
      </text>
    </comment>
    <comment ref="B9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SHIPPER ADDRESS:</t>
        </r>
      </text>
    </comment>
    <comment ref="B17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ASL - CONTACT NAME:</t>
        </r>
      </text>
    </comment>
    <comment ref="B32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RECEIVER'S TEL NO.: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</author>
    <author>Janet</author>
  </authors>
  <commentList>
    <comment ref="E3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INVOICE NO.</t>
        </r>
      </text>
    </comment>
    <comment ref="B5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  <comment ref="B13" authorId="1" shapeId="0" xr:uid="{00000000-0006-0000-0800-000003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 CONTACT
</t>
        </r>
      </text>
    </comment>
  </commentList>
</comments>
</file>

<file path=xl/sharedStrings.xml><?xml version="1.0" encoding="utf-8"?>
<sst xmlns="http://schemas.openxmlformats.org/spreadsheetml/2006/main" count="189" uniqueCount="129">
  <si>
    <t>ALPHA START LIMITED</t>
  </si>
  <si>
    <t>ATTN: PRIYANTHA</t>
  </si>
  <si>
    <t xml:space="preserve"> </t>
  </si>
  <si>
    <t>RUWAN</t>
  </si>
  <si>
    <t>3512 0800</t>
  </si>
  <si>
    <t>PKG(S)</t>
  </si>
  <si>
    <t>ACCESSORIES</t>
  </si>
  <si>
    <t>INVOICE NO.</t>
  </si>
  <si>
    <t>SAMPLE OF NO COMMERCIAL VALUE</t>
  </si>
  <si>
    <t>TO : UNION TRAVEL  COMPANY</t>
  </si>
  <si>
    <t>DATE :</t>
  </si>
  <si>
    <t xml:space="preserve">  XX</t>
  </si>
  <si>
    <t>SAME AS CONSIGNEE</t>
  </si>
  <si>
    <t>HONGKONG</t>
  </si>
  <si>
    <t>DHAKA</t>
  </si>
  <si>
    <t xml:space="preserve">         XXX</t>
  </si>
  <si>
    <t>ATTACHED INVOICE,  PACKING LIST</t>
  </si>
  <si>
    <t>TOTAL :</t>
  </si>
  <si>
    <t>** FREIGHT PREPAID **</t>
  </si>
  <si>
    <t>KOHL'S MISSY 10 FULL FORM</t>
  </si>
  <si>
    <t>DUMMY</t>
  </si>
  <si>
    <t xml:space="preserve">SAMPLE OF NO COMMERCIAL VALUE </t>
  </si>
  <si>
    <r>
      <t xml:space="preserve"> </t>
    </r>
    <r>
      <rPr>
        <sz val="12"/>
        <rFont val="Arial"/>
        <family val="2"/>
      </rPr>
      <t>SHIPPER’S AIR SHIPMENT INSTRUCTIONS TO ARRANGE FOR SHIPMENTS OF GOODS</t>
    </r>
  </si>
  <si>
    <t>From Shipper (“The Customer”)</t>
  </si>
  <si>
    <t>To The Agent</t>
  </si>
  <si>
    <t>Export Licence no.</t>
  </si>
  <si>
    <t>ALPHA START LTD.</t>
  </si>
  <si>
    <t>7TH FLOOR.,EGL TOWER,</t>
  </si>
  <si>
    <t>83 HUNG TO ROAD,</t>
  </si>
  <si>
    <t>Cert. of Origin no.</t>
  </si>
  <si>
    <t>KWUN TONG, KOWLOON, HONG KONG</t>
  </si>
  <si>
    <t xml:space="preserve">Business Reg. no.                            Tel no.: </t>
  </si>
  <si>
    <t>Consignee</t>
  </si>
  <si>
    <t>JANCO INTERNATIONAL FREIGHT LTD.</t>
  </si>
  <si>
    <t>AIR DEPT:  TEL: 21495783 / FAX: 25129179</t>
  </si>
  <si>
    <t>ATTN: ANDY / SUNNY</t>
  </si>
  <si>
    <r>
      <t xml:space="preserve">                                            </t>
    </r>
    <r>
      <rPr>
        <vertAlign val="subscript"/>
        <sz val="12"/>
        <rFont val="Times New Roman"/>
        <family val="1"/>
      </rPr>
      <t>Tel no.</t>
    </r>
  </si>
  <si>
    <t>Notify Party  :</t>
  </si>
  <si>
    <t xml:space="preserve">Airfreight                                                    </t>
  </si>
  <si>
    <r>
      <t xml:space="preserve">Charges              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 To be prepaid          </t>
    </r>
    <r>
      <rPr>
        <b/>
        <vertAlign val="superscript"/>
        <sz val="12"/>
        <rFont val="Times New Roman"/>
        <family val="1"/>
      </rPr>
      <t xml:space="preserve">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</t>
    </r>
    <r>
      <rPr>
        <vertAlign val="subscript"/>
        <sz val="12"/>
        <rFont val="Times New Roman"/>
        <family val="1"/>
      </rPr>
      <t>To be collected</t>
    </r>
  </si>
  <si>
    <t xml:space="preserve">                                                             (if services available)</t>
  </si>
  <si>
    <t>Other Charge</t>
  </si>
  <si>
    <t>MAWB NO.</t>
  </si>
  <si>
    <t>HAWB NO.</t>
  </si>
  <si>
    <r>
      <t xml:space="preserve">……………………….   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 To be prepaid          </t>
    </r>
    <r>
      <rPr>
        <b/>
        <vertAlign val="superscript"/>
        <sz val="12"/>
        <rFont val="Times New Roman"/>
        <family val="1"/>
      </rPr>
      <t xml:space="preserve">   </t>
    </r>
    <r>
      <rPr>
        <b/>
        <vertAlign val="superscript"/>
        <sz val="12"/>
        <rFont val="新細明體"/>
        <family val="1"/>
        <charset val="136"/>
      </rPr>
      <t xml:space="preserve">□  </t>
    </r>
    <r>
      <rPr>
        <vertAlign val="superscript"/>
        <sz val="12"/>
        <rFont val="Times New Roman"/>
        <family val="1"/>
      </rPr>
      <t>To be collected</t>
    </r>
  </si>
  <si>
    <r>
      <t xml:space="preserve">Country of Origin (Goods)       </t>
    </r>
    <r>
      <rPr>
        <b/>
        <vertAlign val="superscript"/>
        <sz val="12"/>
        <rFont val="Times New Roman"/>
        <family val="1"/>
      </rPr>
      <t xml:space="preserve"> </t>
    </r>
  </si>
  <si>
    <t>Name of Carrier</t>
  </si>
  <si>
    <t>Departures Airport                                                                                               HONG KONG</t>
  </si>
  <si>
    <r>
      <t xml:space="preserve">Booking No. </t>
    </r>
    <r>
      <rPr>
        <b/>
        <vertAlign val="superscript"/>
        <sz val="18"/>
        <color indexed="10"/>
        <rFont val="Times New Roman"/>
        <family val="1"/>
      </rPr>
      <t>JIF-60547</t>
    </r>
  </si>
  <si>
    <t>Destination                             DHAKA</t>
  </si>
  <si>
    <t>Airline Counter Signature</t>
  </si>
  <si>
    <r>
      <t xml:space="preserve">    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 Yes           </t>
    </r>
    <r>
      <rPr>
        <b/>
        <vertAlign val="superscript"/>
        <sz val="12"/>
        <rFont val="Times New Roman"/>
        <family val="1"/>
      </rPr>
      <t xml:space="preserve">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No</t>
    </r>
  </si>
  <si>
    <t>Marks &amp; Nos: No. and Kind of Packages,  Description of Goods</t>
  </si>
  <si>
    <t>PACKAGE(S) ONLY</t>
  </si>
  <si>
    <t>"FREIGHT PREPAID"</t>
  </si>
  <si>
    <t>FABRIC AND ACCESSORIES</t>
  </si>
  <si>
    <t>Specify Currency</t>
  </si>
  <si>
    <t>Declared Value for Customs</t>
  </si>
  <si>
    <t>Declared Value for Carriage</t>
  </si>
  <si>
    <t>Insurance Amount</t>
  </si>
  <si>
    <t>Shipper’s C.O.D.</t>
  </si>
  <si>
    <t>Documents to accompany airwaybill or house airwaybill ………………………………………………………………</t>
  </si>
  <si>
    <r>
      <t xml:space="preserve">Packing List    </t>
    </r>
    <r>
      <rPr>
        <sz val="12"/>
        <rFont val="細明體"/>
        <family val="3"/>
        <charset val="136"/>
      </rPr>
      <t>□           Commercial Invoice  □          Certificate of Origin  □       Form A    □</t>
    </r>
  </si>
  <si>
    <t>倉庫地址WAREHOUSE ADDRESS:</t>
  </si>
  <si>
    <t>Signatory’s Name in Block Letter</t>
  </si>
  <si>
    <r>
      <t>永捷倉庫</t>
    </r>
    <r>
      <rPr>
        <b/>
        <sz val="11"/>
        <rFont val="Arial"/>
        <family val="2"/>
      </rPr>
      <t xml:space="preserve"> : </t>
    </r>
    <r>
      <rPr>
        <sz val="11"/>
        <rFont val="PMingLiU"/>
        <family val="1"/>
      </rPr>
      <t>香港新界葵涌</t>
    </r>
    <r>
      <rPr>
        <sz val="11"/>
        <rFont val="Arial"/>
        <family val="2"/>
      </rPr>
      <t xml:space="preserve">, </t>
    </r>
    <r>
      <rPr>
        <sz val="11"/>
        <rFont val="PMingLiU"/>
        <family val="1"/>
      </rPr>
      <t>貨櫃碼頭路</t>
    </r>
    <r>
      <rPr>
        <sz val="11"/>
        <rFont val="Arial"/>
        <family val="2"/>
      </rPr>
      <t xml:space="preserve"> 18 </t>
    </r>
    <r>
      <rPr>
        <sz val="11"/>
        <rFont val="PMingLiU"/>
        <family val="1"/>
      </rPr>
      <t>號</t>
    </r>
    <r>
      <rPr>
        <sz val="11"/>
        <rFont val="Arial"/>
        <family val="2"/>
      </rPr>
      <t xml:space="preserve">, </t>
    </r>
  </si>
  <si>
    <r>
      <t>葵涌四號貨櫃碼頭</t>
    </r>
    <r>
      <rPr>
        <sz val="11"/>
        <rFont val="Arial"/>
        <family val="2"/>
      </rPr>
      <t xml:space="preserve">, </t>
    </r>
    <r>
      <rPr>
        <sz val="11"/>
        <rFont val="PMingLiU"/>
        <family val="1"/>
      </rPr>
      <t>和黃物流中心</t>
    </r>
    <r>
      <rPr>
        <sz val="11"/>
        <rFont val="Arial"/>
        <family val="2"/>
      </rPr>
      <t xml:space="preserve"> 1</t>
    </r>
    <r>
      <rPr>
        <sz val="11"/>
        <rFont val="PMingLiU"/>
        <family val="1"/>
      </rPr>
      <t>樓</t>
    </r>
    <r>
      <rPr>
        <sz val="11"/>
        <rFont val="Arial"/>
        <family val="2"/>
      </rPr>
      <t>, 101</t>
    </r>
    <r>
      <rPr>
        <sz val="11"/>
        <rFont val="PMingLiU"/>
        <family val="1"/>
      </rPr>
      <t>室</t>
    </r>
  </si>
  <si>
    <t xml:space="preserve"> (電話: 26152330/傳真: 21495083)</t>
  </si>
  <si>
    <t>辦公時間 : 星期一至六 - 上午九時至下午六時</t>
  </si>
  <si>
    <r>
      <t xml:space="preserve">Wings Warehouse: </t>
    </r>
    <r>
      <rPr>
        <sz val="12"/>
        <rFont val="Arial"/>
        <family val="2"/>
      </rPr>
      <t>Unit 101, 1/F., Hutchsion Logistics Centre,</t>
    </r>
  </si>
  <si>
    <t>Signature &amp; Stamps</t>
  </si>
  <si>
    <t>Terminal 4, Kwai Chung Container Port, 18 Container</t>
  </si>
  <si>
    <t>Port Road South, Kwai Chung.</t>
  </si>
  <si>
    <t>New Territories, Hong Kong</t>
  </si>
  <si>
    <t>(Tel : 26152330 / Fax : 21495083)</t>
  </si>
  <si>
    <t>___________________________________________</t>
  </si>
  <si>
    <t>Office Hour: Mon – Sat ~ 09:00 am  - 18:00 pm</t>
  </si>
  <si>
    <t>Date                                                              Month/Year/Day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</si>
  <si>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</si>
  <si>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</si>
  <si>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</si>
  <si>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</si>
  <si>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</si>
  <si>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</si>
  <si>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</si>
  <si>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>EGMCL-FOC</t>
  </si>
  <si>
    <t>DHAKA, BD</t>
  </si>
  <si>
    <t>CONSIGNEE :</t>
  </si>
  <si>
    <r>
      <t>EPIC GARMENTS MANUFACTURING CO.LTD.,</t>
    </r>
    <r>
      <rPr>
        <sz val="10"/>
        <color rgb="FFFF0000"/>
        <rFont val="Arial"/>
        <family val="2"/>
      </rPr>
      <t>(UNIT-2)</t>
    </r>
  </si>
  <si>
    <t>SFB NO.08 (GROUND, 1ST,2ND,3RD &amp; 4TH FLOOR)</t>
  </si>
  <si>
    <t>DEPZ EXTENSION AREA, GONOK BARI, SAVAR,</t>
  </si>
  <si>
    <t>DHAKA-1349, BANGLADESH.</t>
  </si>
  <si>
    <t>(BIN:000320579-0403)</t>
  </si>
  <si>
    <t>COUNTRY OF ULTIMATE DESTINATION :</t>
  </si>
  <si>
    <t>BANGLADESH</t>
  </si>
  <si>
    <t>Import open cover note # GDI/DEZ/07/2019/MAR/C/001352 (OPEN) Dated 03-JUL-2019</t>
  </si>
  <si>
    <t>CUSTOMS INVOICE NO.</t>
  </si>
  <si>
    <t>PKG(S) ONLY.</t>
  </si>
  <si>
    <t>GW:</t>
  </si>
  <si>
    <t>KGS</t>
  </si>
  <si>
    <t>C/NO.</t>
  </si>
  <si>
    <t>DESCRIPTION  OF  GOODS</t>
  </si>
  <si>
    <t xml:space="preserve">QUANTITY </t>
  </si>
  <si>
    <t>1 PKGS</t>
  </si>
  <si>
    <t>TOTAL VALUE:</t>
  </si>
  <si>
    <t xml:space="preserve">TIN # 211-201-7957/Coy-20 </t>
  </si>
  <si>
    <t>INVOICE ONLY FOR CUSTOMS PURPOSE</t>
  </si>
  <si>
    <t>MAY KWOK</t>
  </si>
  <si>
    <t>852 35120800</t>
  </si>
  <si>
    <t>ATTN: ABUL KALAM AZAD / MOHAMMAD MASUD</t>
  </si>
  <si>
    <t>TEL: 880-9611008899</t>
  </si>
  <si>
    <t>ALP00001</t>
  </si>
  <si>
    <t>RAJ</t>
  </si>
  <si>
    <t>ATTN : MR. KABIR / ALAM</t>
  </si>
  <si>
    <t>MR. KABIR / ALAM</t>
  </si>
  <si>
    <t>ACCESSORIES/FABRIC</t>
  </si>
  <si>
    <t>TRIM CARD</t>
  </si>
  <si>
    <t xml:space="preserve">7/F, EGL TOWER, </t>
  </si>
  <si>
    <t>KOWLOON, HONGKONG</t>
  </si>
  <si>
    <t>PKG(S) ONLY</t>
  </si>
  <si>
    <t>ROHAN</t>
  </si>
  <si>
    <t>FABRICS/ACCESSORIES</t>
  </si>
  <si>
    <t>MR. SAROJ / ALAM</t>
  </si>
  <si>
    <t>ATTN : MR. SAROJ / ALAM</t>
  </si>
  <si>
    <t>FABRICS &amp; ACCESSORIES</t>
  </si>
  <si>
    <t>SAMPLE OF NO COMMERICAL VALUE</t>
  </si>
  <si>
    <t>PCS</t>
  </si>
  <si>
    <t>S/ 5157 /26</t>
  </si>
  <si>
    <t>FABRIC SWATCHES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</si>
</sst>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164" formatCode="&quot;$&quot;#,##0.000_);\(&quot;$&quot;#,##0.000\)"/>
    <numFmt numFmtId="165" formatCode="0.0"/>
    <numFmt numFmtId="166" formatCode="&quot;$&quot;#,##0.0000_);\(&quot;$&quot;#,##0.0000\)"/>
    <numFmt numFmtId="167" formatCode="[$-409]d\-mmm\-yy;@"/>
    <numFmt numFmtId="168" formatCode="[$USD]\ #,##0.00"/>
  </numFmts>
  <fonts count="60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"/>
      <family val="1"/>
      <charset val="255"/>
    </font>
    <font>
      <sz val="12"/>
      <name val="Times New Roman"/>
      <family val="1"/>
    </font>
    <font>
      <sz val="12"/>
      <name val="Arial"/>
      <family val="2"/>
    </font>
    <font>
      <sz val="12"/>
      <name val="新細明體"/>
      <family val="1"/>
      <charset val="136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b/>
      <sz val="12"/>
      <name val="Arial"/>
      <family val="2"/>
    </font>
    <font>
      <sz val="12"/>
      <color indexed="12"/>
      <name val="新細明體"/>
      <family val="1"/>
      <charset val="136"/>
    </font>
    <font>
      <b/>
      <vertAlign val="superscript"/>
      <sz val="12"/>
      <name val="新細明體"/>
      <family val="1"/>
      <charset val="136"/>
    </font>
    <font>
      <b/>
      <vertAlign val="superscript"/>
      <sz val="12"/>
      <name val="Times New Roman"/>
      <family val="1"/>
    </font>
    <font>
      <b/>
      <vertAlign val="superscript"/>
      <sz val="16"/>
      <name val="Times New Roman"/>
      <family val="1"/>
    </font>
    <font>
      <vertAlign val="superscript"/>
      <sz val="18"/>
      <name val="Times New Roman"/>
      <family val="1"/>
    </font>
    <font>
      <b/>
      <vertAlign val="superscript"/>
      <sz val="18"/>
      <color indexed="10"/>
      <name val="Times New Roman"/>
      <family val="1"/>
    </font>
    <font>
      <vertAlign val="subscript"/>
      <sz val="16"/>
      <name val="Times New Roman"/>
      <family val="1"/>
    </font>
    <font>
      <b/>
      <sz val="12"/>
      <color indexed="57"/>
      <name val="Times New Roman"/>
      <family val="1"/>
    </font>
    <font>
      <sz val="12"/>
      <color indexed="48"/>
      <name val="Times New Roman"/>
      <family val="1"/>
    </font>
    <font>
      <sz val="12"/>
      <color indexed="12"/>
      <name val="Times New Roman"/>
      <family val="1"/>
    </font>
    <font>
      <sz val="12"/>
      <name val="細明體"/>
      <family val="3"/>
      <charset val="136"/>
    </font>
    <font>
      <u/>
      <sz val="12"/>
      <name val="Arial"/>
      <family val="2"/>
    </font>
    <font>
      <b/>
      <sz val="11"/>
      <name val="Arial"/>
      <family val="2"/>
    </font>
    <font>
      <sz val="11"/>
      <name val="PMingLiU"/>
      <family val="1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20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9"/>
      <color indexed="12"/>
      <name val="Arial"/>
      <family val="2"/>
    </font>
    <font>
      <sz val="10"/>
      <color indexed="48"/>
      <name val="Arial"/>
      <family val="2"/>
    </font>
    <font>
      <sz val="8"/>
      <color indexed="10"/>
      <name val="Arial"/>
      <family val="2"/>
    </font>
    <font>
      <sz val="9"/>
      <color indexed="10"/>
      <name val="Arial"/>
      <family val="2"/>
    </font>
    <font>
      <b/>
      <sz val="12"/>
      <color indexed="12"/>
      <name val="Arial"/>
      <family val="2"/>
    </font>
    <font>
      <b/>
      <sz val="12"/>
      <color indexed="48"/>
      <name val="Arial"/>
      <family val="2"/>
    </font>
    <font>
      <b/>
      <sz val="10"/>
      <color indexed="48"/>
      <name val="Arial"/>
      <family val="2"/>
    </font>
    <font>
      <u/>
      <sz val="8"/>
      <name val="Arial"/>
      <family val="2"/>
    </font>
    <font>
      <b/>
      <sz val="9"/>
      <color indexed="48"/>
      <name val="Arial"/>
      <family val="2"/>
    </font>
    <font>
      <sz val="9"/>
      <color indexed="14"/>
      <name val="Courier New"/>
      <family val="3"/>
    </font>
    <font>
      <sz val="9"/>
      <name val="Courier New"/>
      <family val="3"/>
    </font>
    <font>
      <sz val="9"/>
      <color indexed="12"/>
      <name val="Courier New"/>
      <family val="3"/>
    </font>
    <font>
      <sz val="12"/>
      <color rgb="FF002060"/>
      <name val="新細明體"/>
      <family val="1"/>
      <charset val="136"/>
    </font>
    <font>
      <b/>
      <sz val="9"/>
      <name val="Arial"/>
      <family val="2"/>
    </font>
    <font>
      <sz val="8"/>
      <color rgb="FFFF0000"/>
      <name val="Arial"/>
      <family val="2"/>
    </font>
    <font>
      <sz val="8"/>
      <color indexed="14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3">
    <xf numFmtId="0" fontId="0" fillId="0" borderId="0" xfId="0"/>
    <xf numFmtId="0" fontId="2" fillId="0" borderId="0" xfId="1" applyFont="1"/>
    <xf numFmtId="0" fontId="1" fillId="0" borderId="0" xfId="2"/>
    <xf numFmtId="0" fontId="1" fillId="0" borderId="0" xfId="0" applyFont="1"/>
    <xf numFmtId="0" fontId="1" fillId="0" borderId="0" xfId="1"/>
    <xf numFmtId="0" fontId="1" fillId="0" borderId="0" xfId="2" applyAlignment="1">
      <alignment horizontal="center"/>
    </xf>
    <xf numFmtId="0" fontId="3" fillId="0" borderId="0" xfId="0" applyFont="1"/>
    <xf numFmtId="0" fontId="4" fillId="0" borderId="0" xfId="0" applyFont="1"/>
    <xf numFmtId="15" fontId="1" fillId="0" borderId="0" xfId="2" applyNumberFormat="1"/>
    <xf numFmtId="0" fontId="8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8" fillId="0" borderId="4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11" fillId="0" borderId="5" xfId="3" applyFont="1" applyBorder="1" applyAlignment="1">
      <alignment vertical="center"/>
    </xf>
    <xf numFmtId="0" fontId="8" fillId="0" borderId="0" xfId="3" applyFont="1" applyAlignment="1">
      <alignment vertical="center" wrapText="1"/>
    </xf>
    <xf numFmtId="0" fontId="8" fillId="0" borderId="3" xfId="3" applyFont="1" applyBorder="1" applyAlignment="1">
      <alignment vertical="center" wrapText="1"/>
    </xf>
    <xf numFmtId="0" fontId="8" fillId="0" borderId="5" xfId="3" applyFont="1" applyBorder="1" applyAlignment="1">
      <alignment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4" xfId="3" applyFont="1" applyBorder="1" applyAlignment="1">
      <alignment vertical="center" wrapText="1"/>
    </xf>
    <xf numFmtId="0" fontId="11" fillId="0" borderId="0" xfId="3" applyFont="1" applyAlignment="1">
      <alignment vertical="center" wrapText="1"/>
    </xf>
    <xf numFmtId="0" fontId="17" fillId="0" borderId="0" xfId="3" applyFont="1" applyAlignment="1">
      <alignment vertical="center" wrapText="1"/>
    </xf>
    <xf numFmtId="0" fontId="11" fillId="0" borderId="5" xfId="3" applyFont="1" applyBorder="1" applyAlignment="1">
      <alignment vertical="center" wrapText="1"/>
    </xf>
    <xf numFmtId="0" fontId="11" fillId="0" borderId="7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21" fillId="2" borderId="0" xfId="3" applyFont="1" applyFill="1" applyAlignment="1">
      <alignment horizontal="center"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10" fillId="0" borderId="4" xfId="3" applyFont="1" applyBorder="1" applyAlignment="1">
      <alignment vertical="center"/>
    </xf>
    <xf numFmtId="0" fontId="8" fillId="0" borderId="6" xfId="3" applyFont="1" applyBorder="1" applyAlignment="1">
      <alignment vertical="center"/>
    </xf>
    <xf numFmtId="0" fontId="8" fillId="0" borderId="7" xfId="3" applyFont="1" applyBorder="1" applyAlignment="1">
      <alignment vertical="center"/>
    </xf>
    <xf numFmtId="0" fontId="8" fillId="0" borderId="7" xfId="3" applyFont="1" applyBorder="1" applyAlignment="1">
      <alignment vertical="center" wrapText="1"/>
    </xf>
    <xf numFmtId="0" fontId="8" fillId="0" borderId="8" xfId="3" applyFont="1" applyBorder="1" applyAlignment="1">
      <alignment vertical="center" wrapText="1"/>
    </xf>
    <xf numFmtId="0" fontId="11" fillId="0" borderId="12" xfId="3" applyFont="1" applyBorder="1" applyAlignment="1">
      <alignment vertical="center" wrapText="1"/>
    </xf>
    <xf numFmtId="0" fontId="11" fillId="0" borderId="8" xfId="3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29" fillId="0" borderId="0" xfId="4" applyFont="1"/>
    <xf numFmtId="0" fontId="29" fillId="0" borderId="0" xfId="5" applyFont="1"/>
    <xf numFmtId="0" fontId="30" fillId="0" borderId="0" xfId="4" applyFont="1"/>
    <xf numFmtId="15" fontId="29" fillId="0" borderId="0" xfId="4" applyNumberFormat="1" applyFont="1" applyAlignment="1">
      <alignment horizontal="left"/>
    </xf>
    <xf numFmtId="0" fontId="29" fillId="0" borderId="0" xfId="0" applyFont="1"/>
    <xf numFmtId="0" fontId="29" fillId="0" borderId="0" xfId="4" applyFont="1" applyAlignment="1">
      <alignment horizontal="left"/>
    </xf>
    <xf numFmtId="15" fontId="29" fillId="0" borderId="0" xfId="4" applyNumberFormat="1" applyFont="1"/>
    <xf numFmtId="0" fontId="29" fillId="0" borderId="0" xfId="4" applyFont="1" applyAlignment="1">
      <alignment horizontal="center"/>
    </xf>
    <xf numFmtId="0" fontId="29" fillId="0" borderId="0" xfId="4" applyFont="1" applyAlignment="1">
      <alignment horizontal="right"/>
    </xf>
    <xf numFmtId="0" fontId="31" fillId="0" borderId="0" xfId="0" applyFont="1"/>
    <xf numFmtId="0" fontId="30" fillId="0" borderId="0" xfId="0" applyFont="1"/>
    <xf numFmtId="0" fontId="3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quotePrefix="1" applyFont="1" applyAlignment="1">
      <alignment horizontal="left"/>
    </xf>
    <xf numFmtId="0" fontId="33" fillId="0" borderId="0" xfId="0" quotePrefix="1" applyFont="1" applyAlignment="1">
      <alignment horizontal="center"/>
    </xf>
    <xf numFmtId="0" fontId="34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0" fillId="0" borderId="0" xfId="0" quotePrefix="1"/>
    <xf numFmtId="0" fontId="36" fillId="0" borderId="0" xfId="0" applyFont="1"/>
    <xf numFmtId="0" fontId="35" fillId="0" borderId="0" xfId="0" applyFont="1"/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7" fillId="0" borderId="0" xfId="0" applyFont="1"/>
    <xf numFmtId="164" fontId="1" fillId="0" borderId="0" xfId="0" applyNumberFormat="1" applyFont="1"/>
    <xf numFmtId="7" fontId="36" fillId="0" borderId="0" xfId="0" applyNumberFormat="1" applyFont="1"/>
    <xf numFmtId="2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7" fontId="36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left"/>
    </xf>
    <xf numFmtId="0" fontId="2" fillId="0" borderId="0" xfId="0" applyFont="1"/>
    <xf numFmtId="166" fontId="1" fillId="0" borderId="0" xfId="0" applyNumberFormat="1" applyFont="1"/>
    <xf numFmtId="7" fontId="1" fillId="0" borderId="0" xfId="0" applyNumberFormat="1" applyFont="1"/>
    <xf numFmtId="0" fontId="38" fillId="0" borderId="0" xfId="4" applyFont="1"/>
    <xf numFmtId="7" fontId="0" fillId="0" borderId="0" xfId="0" applyNumberFormat="1"/>
    <xf numFmtId="1" fontId="1" fillId="0" borderId="0" xfId="0" applyNumberFormat="1" applyFont="1"/>
    <xf numFmtId="0" fontId="39" fillId="0" borderId="0" xfId="0" applyFont="1"/>
    <xf numFmtId="0" fontId="2" fillId="0" borderId="0" xfId="4" applyFont="1"/>
    <xf numFmtId="0" fontId="40" fillId="0" borderId="0" xfId="4" applyFont="1"/>
    <xf numFmtId="0" fontId="41" fillId="0" borderId="0" xfId="4" applyFont="1"/>
    <xf numFmtId="0" fontId="3" fillId="0" borderId="0" xfId="4" applyFont="1"/>
    <xf numFmtId="15" fontId="1" fillId="0" borderId="0" xfId="0" applyNumberFormat="1" applyFont="1" applyAlignment="1">
      <alignment horizontal="center"/>
    </xf>
    <xf numFmtId="0" fontId="1" fillId="0" borderId="0" xfId="6"/>
    <xf numFmtId="1" fontId="1" fillId="0" borderId="0" xfId="6" applyNumberFormat="1"/>
    <xf numFmtId="1" fontId="35" fillId="0" borderId="0" xfId="6" applyNumberFormat="1" applyFont="1"/>
    <xf numFmtId="0" fontId="35" fillId="0" borderId="0" xfId="6" applyFont="1"/>
    <xf numFmtId="0" fontId="35" fillId="0" borderId="0" xfId="7" applyFont="1"/>
    <xf numFmtId="0" fontId="1" fillId="0" borderId="0" xfId="7"/>
    <xf numFmtId="0" fontId="42" fillId="0" borderId="0" xfId="6" applyFont="1"/>
    <xf numFmtId="0" fontId="43" fillId="0" borderId="0" xfId="2" applyFont="1"/>
    <xf numFmtId="0" fontId="44" fillId="0" borderId="0" xfId="2" applyFont="1"/>
    <xf numFmtId="0" fontId="1" fillId="0" borderId="0" xfId="8"/>
    <xf numFmtId="0" fontId="1" fillId="0" borderId="0" xfId="8" applyAlignment="1">
      <alignment horizontal="right"/>
    </xf>
    <xf numFmtId="0" fontId="3" fillId="2" borderId="0" xfId="8" applyFont="1" applyFill="1"/>
    <xf numFmtId="0" fontId="2" fillId="2" borderId="0" xfId="8" applyFont="1" applyFill="1"/>
    <xf numFmtId="0" fontId="2" fillId="2" borderId="0" xfId="8" applyFont="1" applyFill="1" applyAlignment="1">
      <alignment horizontal="right"/>
    </xf>
    <xf numFmtId="0" fontId="1" fillId="2" borderId="0" xfId="8" applyFill="1"/>
    <xf numFmtId="0" fontId="3" fillId="0" borderId="0" xfId="8" applyFont="1"/>
    <xf numFmtId="0" fontId="1" fillId="2" borderId="0" xfId="8" applyFill="1" applyAlignment="1">
      <alignment horizontal="center"/>
    </xf>
    <xf numFmtId="0" fontId="1" fillId="2" borderId="0" xfId="8" applyFill="1" applyAlignment="1">
      <alignment horizontal="right"/>
    </xf>
    <xf numFmtId="8" fontId="1" fillId="0" borderId="0" xfId="8" applyNumberFormat="1"/>
    <xf numFmtId="0" fontId="2" fillId="0" borderId="0" xfId="8" applyFont="1"/>
    <xf numFmtId="0" fontId="45" fillId="0" borderId="0" xfId="8" applyFont="1"/>
    <xf numFmtId="15" fontId="1" fillId="0" borderId="0" xfId="8" applyNumberFormat="1" applyAlignment="1">
      <alignment horizontal="left"/>
    </xf>
    <xf numFmtId="0" fontId="2" fillId="0" borderId="0" xfId="2" applyFont="1"/>
    <xf numFmtId="0" fontId="46" fillId="0" borderId="0" xfId="2" applyFont="1"/>
    <xf numFmtId="0" fontId="2" fillId="0" borderId="0" xfId="9" applyFont="1"/>
    <xf numFmtId="0" fontId="29" fillId="2" borderId="0" xfId="2" applyFont="1" applyFill="1"/>
    <xf numFmtId="0" fontId="2" fillId="0" borderId="0" xfId="2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1" applyFont="1"/>
    <xf numFmtId="0" fontId="3" fillId="0" borderId="0" xfId="2" applyFont="1" applyAlignment="1">
      <alignment horizontal="left"/>
    </xf>
    <xf numFmtId="0" fontId="3" fillId="2" borderId="0" xfId="2" applyFont="1" applyFill="1"/>
    <xf numFmtId="0" fontId="1" fillId="0" borderId="0" xfId="1" applyAlignment="1">
      <alignment horizontal="center"/>
    </xf>
    <xf numFmtId="0" fontId="45" fillId="0" borderId="0" xfId="2" applyFont="1"/>
    <xf numFmtId="15" fontId="3" fillId="0" borderId="0" xfId="2" applyNumberFormat="1" applyFont="1" applyAlignment="1">
      <alignment horizontal="left"/>
    </xf>
    <xf numFmtId="0" fontId="3" fillId="0" borderId="0" xfId="9" applyFont="1"/>
    <xf numFmtId="0" fontId="47" fillId="0" borderId="0" xfId="0" quotePrefix="1" applyFont="1"/>
    <xf numFmtId="0" fontId="48" fillId="0" borderId="0" xfId="0" applyFont="1"/>
    <xf numFmtId="0" fontId="48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0" fillId="0" borderId="0" xfId="3" applyFont="1" applyAlignment="1">
      <alignment vertical="center"/>
    </xf>
    <xf numFmtId="0" fontId="0" fillId="0" borderId="0" xfId="0" quotePrefix="1" applyAlignment="1">
      <alignment horizontal="center"/>
    </xf>
    <xf numFmtId="3" fontId="0" fillId="0" borderId="0" xfId="0" applyNumberFormat="1"/>
    <xf numFmtId="0" fontId="42" fillId="0" borderId="0" xfId="0" applyFont="1"/>
    <xf numFmtId="0" fontId="0" fillId="0" borderId="0" xfId="0" quotePrefix="1" applyAlignment="1">
      <alignment horizontal="left"/>
    </xf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quotePrefix="1" applyFont="1" applyFill="1"/>
    <xf numFmtId="0" fontId="51" fillId="3" borderId="0" xfId="0" applyFont="1" applyFill="1" applyAlignment="1">
      <alignment horizontal="left"/>
    </xf>
    <xf numFmtId="0" fontId="2" fillId="3" borderId="0" xfId="0" applyFont="1" applyFill="1"/>
    <xf numFmtId="0" fontId="0" fillId="3" borderId="0" xfId="0" applyFill="1"/>
    <xf numFmtId="0" fontId="52" fillId="3" borderId="0" xfId="0" applyFont="1" applyFill="1"/>
    <xf numFmtId="0" fontId="2" fillId="3" borderId="0" xfId="0" applyFont="1" applyFill="1" applyAlignment="1">
      <alignment horizontal="left"/>
    </xf>
    <xf numFmtId="0" fontId="53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2" fillId="2" borderId="0" xfId="0" applyFont="1" applyFill="1"/>
    <xf numFmtId="167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54" fillId="0" borderId="0" xfId="0" applyFont="1" applyAlignment="1">
      <alignment horizontal="right"/>
    </xf>
    <xf numFmtId="0" fontId="55" fillId="0" borderId="0" xfId="0" applyFont="1" applyAlignment="1">
      <alignment horizontal="right"/>
    </xf>
    <xf numFmtId="2" fontId="56" fillId="0" borderId="0" xfId="0" applyNumberFormat="1" applyFont="1" applyAlignment="1">
      <alignment horizontal="center"/>
    </xf>
    <xf numFmtId="0" fontId="57" fillId="0" borderId="0" xfId="6" applyFont="1"/>
    <xf numFmtId="0" fontId="30" fillId="2" borderId="0" xfId="6" applyFont="1" applyFill="1"/>
    <xf numFmtId="15" fontId="1" fillId="0" borderId="0" xfId="6" applyNumberFormat="1" applyAlignment="1">
      <alignment horizontal="center"/>
    </xf>
    <xf numFmtId="0" fontId="52" fillId="0" borderId="0" xfId="0" applyFont="1"/>
    <xf numFmtId="3" fontId="1" fillId="0" borderId="0" xfId="0" applyNumberFormat="1" applyFont="1"/>
    <xf numFmtId="15" fontId="0" fillId="0" borderId="0" xfId="0" applyNumberFormat="1" applyAlignment="1">
      <alignment horizontal="center"/>
    </xf>
    <xf numFmtId="168" fontId="54" fillId="0" borderId="13" xfId="0" applyNumberFormat="1" applyFont="1" applyBorder="1" applyAlignment="1">
      <alignment horizontal="center"/>
    </xf>
    <xf numFmtId="0" fontId="9" fillId="0" borderId="4" xfId="3" applyFont="1" applyBorder="1" applyAlignment="1">
      <alignment vertical="center" wrapText="1"/>
    </xf>
    <xf numFmtId="0" fontId="9" fillId="0" borderId="0" xfId="3" applyFont="1" applyAlignment="1">
      <alignment vertical="center" wrapText="1"/>
    </xf>
    <xf numFmtId="0" fontId="9" fillId="0" borderId="5" xfId="3" applyFont="1" applyBorder="1" applyAlignment="1">
      <alignment vertical="center" wrapText="1"/>
    </xf>
    <xf numFmtId="0" fontId="8" fillId="0" borderId="4" xfId="3" applyFont="1" applyBorder="1" applyAlignment="1">
      <alignment vertical="center" wrapText="1"/>
    </xf>
    <xf numFmtId="0" fontId="8" fillId="0" borderId="0" xfId="3" applyFont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9" fillId="0" borderId="6" xfId="3" applyFont="1" applyBorder="1" applyAlignment="1">
      <alignment vertical="center" wrapText="1"/>
    </xf>
    <xf numFmtId="0" fontId="9" fillId="0" borderId="7" xfId="3" applyFont="1" applyBorder="1" applyAlignment="1">
      <alignment vertical="center" wrapText="1"/>
    </xf>
    <xf numFmtId="0" fontId="9" fillId="0" borderId="8" xfId="3" applyFont="1" applyBorder="1" applyAlignment="1">
      <alignment vertical="center" wrapText="1"/>
    </xf>
    <xf numFmtId="0" fontId="11" fillId="0" borderId="6" xfId="3" applyFont="1" applyBorder="1" applyAlignment="1">
      <alignment vertical="center" wrapText="1"/>
    </xf>
    <xf numFmtId="0" fontId="11" fillId="0" borderId="7" xfId="3" applyFont="1" applyBorder="1" applyAlignment="1">
      <alignment vertical="center" wrapText="1"/>
    </xf>
    <xf numFmtId="0" fontId="11" fillId="0" borderId="8" xfId="3" applyFont="1" applyBorder="1" applyAlignment="1">
      <alignment vertical="center" wrapText="1"/>
    </xf>
    <xf numFmtId="0" fontId="10" fillId="0" borderId="4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10" fillId="0" borderId="5" xfId="3" applyFont="1" applyBorder="1" applyAlignment="1">
      <alignment vertical="center" wrapText="1"/>
    </xf>
    <xf numFmtId="0" fontId="11" fillId="0" borderId="4" xfId="3" applyFont="1" applyBorder="1" applyAlignment="1">
      <alignment vertical="center" wrapText="1"/>
    </xf>
    <xf numFmtId="0" fontId="11" fillId="0" borderId="0" xfId="3" applyFont="1" applyAlignment="1">
      <alignment vertical="center" wrapText="1"/>
    </xf>
    <xf numFmtId="0" fontId="11" fillId="0" borderId="5" xfId="3" applyFont="1" applyBorder="1" applyAlignment="1">
      <alignment vertical="center" wrapText="1"/>
    </xf>
    <xf numFmtId="0" fontId="25" fillId="0" borderId="4" xfId="3" applyFont="1" applyBorder="1" applyAlignment="1">
      <alignment vertical="center" wrapText="1"/>
    </xf>
    <xf numFmtId="0" fontId="25" fillId="0" borderId="1" xfId="3" applyFont="1" applyBorder="1" applyAlignment="1">
      <alignment vertical="center" wrapText="1"/>
    </xf>
    <xf numFmtId="0" fontId="25" fillId="0" borderId="2" xfId="3" applyFont="1" applyBorder="1" applyAlignment="1">
      <alignment vertical="center" wrapText="1"/>
    </xf>
    <xf numFmtId="0" fontId="25" fillId="0" borderId="3" xfId="3" applyFont="1" applyBorder="1" applyAlignment="1">
      <alignment vertical="center" wrapText="1"/>
    </xf>
    <xf numFmtId="0" fontId="11" fillId="0" borderId="1" xfId="3" applyFont="1" applyBorder="1" applyAlignment="1">
      <alignment vertical="center" wrapText="1"/>
    </xf>
    <xf numFmtId="0" fontId="11" fillId="0" borderId="2" xfId="3" applyFont="1" applyBorder="1" applyAlignment="1">
      <alignment vertical="center" wrapText="1"/>
    </xf>
    <xf numFmtId="0" fontId="11" fillId="0" borderId="3" xfId="3" applyFont="1" applyBorder="1" applyAlignment="1">
      <alignment vertical="center" wrapText="1"/>
    </xf>
    <xf numFmtId="0" fontId="8" fillId="0" borderId="6" xfId="3" applyFont="1" applyBorder="1" applyAlignment="1">
      <alignment vertical="center" wrapText="1"/>
    </xf>
    <xf numFmtId="0" fontId="8" fillId="0" borderId="7" xfId="3" applyFont="1" applyBorder="1" applyAlignment="1">
      <alignment vertical="center" wrapText="1"/>
    </xf>
    <xf numFmtId="0" fontId="8" fillId="0" borderId="8" xfId="3" applyFont="1" applyBorder="1" applyAlignment="1">
      <alignment vertical="center" wrapText="1"/>
    </xf>
    <xf numFmtId="0" fontId="20" fillId="0" borderId="1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1" fillId="0" borderId="9" xfId="3" applyFont="1" applyBorder="1" applyAlignment="1">
      <alignment vertical="center" wrapText="1"/>
    </xf>
    <xf numFmtId="0" fontId="11" fillId="0" borderId="10" xfId="3" applyFont="1" applyBorder="1" applyAlignment="1">
      <alignment vertical="center" wrapText="1"/>
    </xf>
    <xf numFmtId="0" fontId="11" fillId="0" borderId="11" xfId="3" applyFont="1" applyBorder="1" applyAlignment="1">
      <alignment vertical="center" wrapText="1"/>
    </xf>
    <xf numFmtId="0" fontId="8" fillId="0" borderId="2" xfId="3" applyFont="1" applyBorder="1" applyAlignment="1">
      <alignment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1" xfId="3" applyFont="1" applyBorder="1" applyAlignment="1">
      <alignment vertical="center" wrapText="1"/>
    </xf>
    <xf numFmtId="0" fontId="8" fillId="0" borderId="3" xfId="3" applyFont="1" applyBorder="1" applyAlignment="1">
      <alignment vertical="center" wrapText="1"/>
    </xf>
    <xf numFmtId="0" fontId="11" fillId="0" borderId="1" xfId="3" applyFont="1" applyBorder="1" applyAlignment="1">
      <alignment vertical="top" wrapText="1"/>
    </xf>
    <xf numFmtId="0" fontId="11" fillId="0" borderId="3" xfId="3" applyFont="1" applyBorder="1" applyAlignment="1">
      <alignment vertical="top" wrapText="1"/>
    </xf>
    <xf numFmtId="0" fontId="11" fillId="0" borderId="6" xfId="3" applyFont="1" applyBorder="1" applyAlignment="1">
      <alignment vertical="top" wrapText="1"/>
    </xf>
    <xf numFmtId="0" fontId="11" fillId="0" borderId="8" xfId="3" applyFont="1" applyBorder="1" applyAlignment="1">
      <alignment vertical="top" wrapText="1"/>
    </xf>
    <xf numFmtId="0" fontId="18" fillId="0" borderId="1" xfId="3" applyFont="1" applyBorder="1" applyAlignment="1">
      <alignment horizontal="left" vertical="center" wrapText="1"/>
    </xf>
    <xf numFmtId="0" fontId="18" fillId="0" borderId="2" xfId="3" applyFont="1" applyBorder="1" applyAlignment="1">
      <alignment horizontal="left" vertical="center" wrapText="1"/>
    </xf>
    <xf numFmtId="0" fontId="18" fillId="0" borderId="3" xfId="3" applyFont="1" applyBorder="1" applyAlignment="1">
      <alignment horizontal="left" vertical="center" wrapText="1"/>
    </xf>
    <xf numFmtId="0" fontId="18" fillId="0" borderId="6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left" vertical="center" wrapText="1"/>
    </xf>
    <xf numFmtId="0" fontId="13" fillId="0" borderId="4" xfId="3" applyFont="1" applyBorder="1" applyAlignment="1">
      <alignment horizontal="left" vertical="center" wrapText="1" indent="2"/>
    </xf>
    <xf numFmtId="0" fontId="13" fillId="0" borderId="0" xfId="3" applyFont="1" applyAlignment="1">
      <alignment horizontal="left" vertical="center" wrapText="1" indent="2"/>
    </xf>
    <xf numFmtId="0" fontId="13" fillId="0" borderId="5" xfId="3" applyFont="1" applyBorder="1" applyAlignment="1">
      <alignment horizontal="left" vertical="center" wrapText="1" indent="2"/>
    </xf>
    <xf numFmtId="0" fontId="13" fillId="0" borderId="4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0" fontId="13" fillId="0" borderId="5" xfId="3" applyFont="1" applyBorder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14" fillId="0" borderId="5" xfId="3" applyFont="1" applyBorder="1" applyAlignment="1">
      <alignment vertical="center" wrapText="1"/>
    </xf>
    <xf numFmtId="0" fontId="10" fillId="0" borderId="6" xfId="3" applyFont="1" applyBorder="1" applyAlignment="1">
      <alignment vertical="center" wrapText="1"/>
    </xf>
    <xf numFmtId="0" fontId="10" fillId="0" borderId="7" xfId="3" applyFont="1" applyBorder="1" applyAlignment="1">
      <alignment vertical="center" wrapText="1"/>
    </xf>
    <xf numFmtId="0" fontId="10" fillId="0" borderId="8" xfId="3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2" fillId="0" borderId="2" xfId="3" applyFont="1" applyBorder="1" applyAlignment="1">
      <alignment vertical="center" wrapText="1"/>
    </xf>
    <xf numFmtId="0" fontId="12" fillId="0" borderId="3" xfId="3" applyFont="1" applyBorder="1" applyAlignment="1">
      <alignment vertical="center" wrapText="1"/>
    </xf>
    <xf numFmtId="0" fontId="12" fillId="0" borderId="6" xfId="3" applyFont="1" applyBorder="1" applyAlignment="1">
      <alignment vertical="center" wrapText="1"/>
    </xf>
    <xf numFmtId="0" fontId="12" fillId="0" borderId="7" xfId="3" applyFont="1" applyBorder="1" applyAlignment="1">
      <alignment vertical="center" wrapText="1"/>
    </xf>
    <xf numFmtId="0" fontId="12" fillId="0" borderId="8" xfId="3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</cellXfs>
  <cellStyles count="10">
    <cellStyle name="Normal" xfId="0" builtinId="0"/>
    <cellStyle name="Normal_AIR BOOKING (JANCO)" xfId="3" xr:uid="{00000000-0005-0000-0000-000001000000}"/>
    <cellStyle name="Normal_KLT" xfId="7" xr:uid="{00000000-0005-0000-0000-000002000000}"/>
    <cellStyle name="Normal_ROYALE" xfId="8" xr:uid="{00000000-0005-0000-0000-000003000000}"/>
    <cellStyle name="Normal_S0865" xfId="6" xr:uid="{00000000-0005-0000-0000-000004000000}"/>
    <cellStyle name="Normal_S1348" xfId="2" xr:uid="{00000000-0005-0000-0000-000005000000}"/>
    <cellStyle name="Normal_UTC " xfId="4" xr:uid="{00000000-0005-0000-0000-000006000000}"/>
    <cellStyle name="Normal_UTC _1" xfId="5" xr:uid="{00000000-0005-0000-0000-000007000000}"/>
    <cellStyle name="Normal_UTC _MB1401" xfId="1" xr:uid="{00000000-0005-0000-0000-000008000000}"/>
    <cellStyle name="Normal_UTC _RPX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47" name="Text 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8" name="Text 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49" name="Text 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50" name="Text 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52" name="Text 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53" name="Text 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55" name="Text 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56" name="Text 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6</xdr:row>
      <xdr:rowOff>76200</xdr:rowOff>
    </xdr:from>
    <xdr:to>
      <xdr:col>4</xdr:col>
      <xdr:colOff>289560</xdr:colOff>
      <xdr:row>7</xdr:row>
      <xdr:rowOff>198120</xdr:rowOff>
    </xdr:to>
    <xdr:pic>
      <xdr:nvPicPr>
        <xdr:cNvPr id="2" name="Picture 1" descr="Janco_Final_logo_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40" y="1463040"/>
          <a:ext cx="26670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12F1FB-5536-4063-BA52-FFD13FF59423}">
  <we:reference id="wa200005271" version="1.1.0.0" store="en-U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"/>
  <sheetViews>
    <sheetView workbookViewId="0">
      <selection activeCell="H3" sqref="H3"/>
    </sheetView>
  </sheetViews>
  <sheetFormatPr defaultColWidth="9.140625" defaultRowHeight="12.75"/>
  <cols>
    <col min="1" max="1" width="3.5703125" style="2" customWidth="1"/>
    <col min="2" max="2" width="11" style="2" customWidth="1"/>
    <col min="3" max="3" width="9.140625" style="2"/>
    <col min="4" max="4" width="10.140625" style="2" customWidth="1"/>
    <col min="5" max="5" width="5.5703125" style="2" customWidth="1"/>
    <col min="6" max="6" width="7.140625" style="2" customWidth="1"/>
    <col min="7" max="7" width="5.5703125" style="2" customWidth="1"/>
    <col min="8" max="8" width="12" style="2" customWidth="1"/>
    <col min="9" max="9" width="17.5703125" style="2" customWidth="1"/>
    <col min="10" max="10" width="20.42578125" style="2" customWidth="1"/>
    <col min="11" max="16384" width="9.140625" style="2"/>
  </cols>
  <sheetData>
    <row r="1" spans="2:10">
      <c r="B1" s="1" t="s">
        <v>0</v>
      </c>
      <c r="H1" s="3" t="str">
        <f>'CUSTOM  INVOICE'!C11</f>
        <v>EPIC GARMENTS MANUFACTURING CO.LTD.,(UNIT-2)</v>
      </c>
    </row>
    <row r="2" spans="2:10">
      <c r="B2" s="1" t="str">
        <f>+'CUSTOM  INVOICE'!E2</f>
        <v>7/F, EGL TOWER</v>
      </c>
      <c r="C2" s="1"/>
      <c r="D2" s="1"/>
      <c r="E2" s="1"/>
      <c r="H2" s="3" t="str">
        <f>'CUSTOM  INVOICE'!C12</f>
        <v>SFB NO.08 (GROUND, 1ST,2ND,3RD &amp; 4TH FLOOR)</v>
      </c>
      <c r="I2" s="1"/>
    </row>
    <row r="3" spans="2:10">
      <c r="B3" s="1" t="str">
        <f>+'CUSTOM  INVOICE'!E3</f>
        <v>83 HUNG TO ROAD, KWUN TONG</v>
      </c>
      <c r="C3" s="1"/>
      <c r="D3" s="1"/>
      <c r="E3" s="1"/>
      <c r="H3" s="3" t="str">
        <f>'CUSTOM  INVOICE'!C13</f>
        <v>DEPZ EXTENSION AREA, GONOK BARI, SAVAR,</v>
      </c>
      <c r="I3" s="1"/>
    </row>
    <row r="4" spans="2:10">
      <c r="B4" s="1" t="str">
        <f>+'CUSTOM  INVOICE'!E4</f>
        <v>KOWLOON, HONG KONG.</v>
      </c>
      <c r="C4" s="1"/>
      <c r="D4" s="1"/>
      <c r="E4" s="1"/>
      <c r="H4" s="3" t="s">
        <v>1</v>
      </c>
      <c r="I4" s="1"/>
    </row>
    <row r="5" spans="2:10">
      <c r="C5" s="1"/>
      <c r="D5" s="1"/>
      <c r="E5" s="1"/>
      <c r="H5" s="1" t="s">
        <v>2</v>
      </c>
    </row>
    <row r="6" spans="2:10">
      <c r="B6" s="4"/>
      <c r="C6" s="1"/>
      <c r="D6" s="1"/>
      <c r="E6" s="1"/>
      <c r="H6" s="1" t="s">
        <v>2</v>
      </c>
    </row>
    <row r="7" spans="2:10" ht="14.25" customHeight="1">
      <c r="B7" s="1" t="s">
        <v>3</v>
      </c>
      <c r="D7" s="1"/>
      <c r="E7" s="1" t="s">
        <v>4</v>
      </c>
    </row>
    <row r="8" spans="2:10" ht="12" customHeight="1"/>
    <row r="9" spans="2:10" ht="11.25" customHeight="1"/>
    <row r="13" spans="2:10" ht="15" customHeight="1"/>
    <row r="14" spans="2:10">
      <c r="D14" s="5"/>
    </row>
    <row r="15" spans="2:10">
      <c r="E15" s="2">
        <f>+'CUSTOM  INVOICE'!B25</f>
        <v>1</v>
      </c>
      <c r="F15" s="4" t="s">
        <v>5</v>
      </c>
      <c r="H15" s="6" t="s">
        <v>6</v>
      </c>
      <c r="I15" s="3"/>
      <c r="J15" s="3"/>
    </row>
    <row r="16" spans="2:10" ht="15">
      <c r="H16" s="3" t="s">
        <v>7</v>
      </c>
      <c r="I16" s="7" t="str">
        <f>'CUSTOM  INVOICE'!D23</f>
        <v>S/ 5157 /26</v>
      </c>
    </row>
    <row r="17" spans="2:10">
      <c r="H17" s="3" t="s">
        <v>8</v>
      </c>
      <c r="I17"/>
      <c r="J17"/>
    </row>
    <row r="20" spans="2:10">
      <c r="F20" s="1" t="s">
        <v>2</v>
      </c>
    </row>
    <row r="21" spans="2:10">
      <c r="F21" s="1" t="s">
        <v>2</v>
      </c>
    </row>
    <row r="22" spans="2:10">
      <c r="F22" s="1" t="s">
        <v>2</v>
      </c>
    </row>
    <row r="23" spans="2:10">
      <c r="F23" s="1" t="s">
        <v>2</v>
      </c>
      <c r="H23" s="1" t="s">
        <v>2</v>
      </c>
    </row>
    <row r="24" spans="2:10">
      <c r="F24" s="1"/>
      <c r="H24" s="1" t="s">
        <v>2</v>
      </c>
    </row>
    <row r="26" spans="2:10">
      <c r="B26" s="8">
        <f ca="1">TODAY()</f>
        <v>46301</v>
      </c>
    </row>
  </sheetData>
  <pageMargins left="0.05" right="0.1" top="2.0499999999999998" bottom="0" header="1.34" footer="1.3"/>
  <pageSetup paperSize="9" orientation="portrait" blackAndWhite="1" horizontalDpi="180" verticalDpi="18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0"/>
  <sheetViews>
    <sheetView topLeftCell="A28" workbookViewId="0">
      <selection activeCell="E39" sqref="E39"/>
    </sheetView>
  </sheetViews>
  <sheetFormatPr defaultColWidth="9.140625" defaultRowHeight="12.75"/>
  <cols>
    <col min="1" max="1" width="3.5703125" style="42" customWidth="1"/>
    <col min="2" max="3" width="9.140625" style="42"/>
    <col min="4" max="4" width="10.140625" style="42" bestFit="1" customWidth="1"/>
    <col min="5" max="5" width="10" style="42" bestFit="1" customWidth="1"/>
    <col min="6" max="6" width="4.42578125" style="42" customWidth="1"/>
    <col min="7" max="7" width="5.42578125" style="42" customWidth="1"/>
    <col min="8" max="8" width="7" style="42" customWidth="1"/>
    <col min="9" max="9" width="16.42578125" style="42" customWidth="1"/>
    <col min="10" max="16384" width="9.140625" style="42"/>
  </cols>
  <sheetData>
    <row r="1" spans="2:9" ht="13.5" customHeight="1"/>
    <row r="2" spans="2:9">
      <c r="B2" s="43" t="s">
        <v>0</v>
      </c>
      <c r="G2" s="44" t="s">
        <v>9</v>
      </c>
    </row>
    <row r="3" spans="2:9">
      <c r="B3" s="43" t="str">
        <f>+'CUSTOM  INVOICE'!E2</f>
        <v>7/F, EGL TOWER</v>
      </c>
      <c r="G3" s="42" t="s">
        <v>10</v>
      </c>
      <c r="I3" s="45">
        <f ca="1">TODAY()+H12</f>
        <v>46301</v>
      </c>
    </row>
    <row r="4" spans="2:9">
      <c r="B4" s="43" t="str">
        <f>+'CUSTOM  INVOICE'!E3</f>
        <v>83 HUNG TO ROAD, KWUN TONG</v>
      </c>
    </row>
    <row r="5" spans="2:9">
      <c r="B5" s="43" t="str">
        <f>+'CUSTOM  INVOICE'!E4</f>
        <v>KOWLOON, HONG KONG.</v>
      </c>
    </row>
    <row r="6" spans="2:9">
      <c r="E6" s="42" t="s">
        <v>4</v>
      </c>
    </row>
    <row r="8" spans="2:9">
      <c r="B8" s="46" t="str">
        <f>'CUSTOM  INVOICE'!C11</f>
        <v>EPIC GARMENTS MANUFACTURING CO.LTD.,(UNIT-2)</v>
      </c>
    </row>
    <row r="9" spans="2:9">
      <c r="B9" s="46" t="str">
        <f>'CUSTOM  INVOICE'!C12</f>
        <v>SFB NO.08 (GROUND, 1ST,2ND,3RD &amp; 4TH FLOOR)</v>
      </c>
    </row>
    <row r="10" spans="2:9">
      <c r="B10" s="46" t="str">
        <f>'CUSTOM  INVOICE'!C13</f>
        <v>DEPZ EXTENSION AREA, GONOK BARI, SAVAR,</v>
      </c>
    </row>
    <row r="11" spans="2:9">
      <c r="B11" s="46">
        <f>'CUSTOM  INVOICE'!E14</f>
        <v>0</v>
      </c>
    </row>
    <row r="13" spans="2:9">
      <c r="I13" s="42" t="s">
        <v>11</v>
      </c>
    </row>
    <row r="15" spans="2:9">
      <c r="B15" s="42" t="s">
        <v>12</v>
      </c>
    </row>
    <row r="16" spans="2:9">
      <c r="I16" s="42" t="s">
        <v>11</v>
      </c>
    </row>
    <row r="22" spans="2:10">
      <c r="D22" s="42" t="s">
        <v>13</v>
      </c>
      <c r="E22" s="47"/>
      <c r="H22" s="42" t="s">
        <v>2</v>
      </c>
    </row>
    <row r="23" spans="2:10" ht="15.75" customHeight="1">
      <c r="B23" s="42" t="s">
        <v>14</v>
      </c>
      <c r="C23" s="48"/>
      <c r="D23" s="42" t="s">
        <v>15</v>
      </c>
      <c r="H23" s="42" t="s">
        <v>16</v>
      </c>
    </row>
    <row r="24" spans="2:10" ht="10.5" customHeight="1"/>
    <row r="27" spans="2:10">
      <c r="D27" s="42" t="s">
        <v>17</v>
      </c>
      <c r="E27" s="49">
        <f>+'CUSTOM  INVOICE'!B25</f>
        <v>1</v>
      </c>
      <c r="F27" s="47" t="str">
        <f>+'CUSTOM  INVOICE'!C25</f>
        <v>PKG(S) ONLY.</v>
      </c>
      <c r="J27" s="50" t="s">
        <v>18</v>
      </c>
    </row>
    <row r="29" spans="2:10">
      <c r="B29" s="46"/>
      <c r="D29" s="51"/>
      <c r="F29" s="46"/>
      <c r="G29" s="46"/>
      <c r="H29" s="51"/>
      <c r="I29" s="46"/>
    </row>
    <row r="30" spans="2:10">
      <c r="B30" s="46"/>
      <c r="D30" s="51"/>
      <c r="F30" s="46"/>
      <c r="G30" s="46"/>
      <c r="H30" s="51"/>
      <c r="I30" s="46"/>
    </row>
    <row r="31" spans="2:10">
      <c r="B31" s="46" t="str">
        <f>+'CUSTOM  INVOICE'!J9</f>
        <v>EGMCL-FOC</v>
      </c>
      <c r="D31" s="51"/>
      <c r="E31" s="46"/>
      <c r="F31" s="46"/>
      <c r="G31" s="46"/>
      <c r="H31" s="51"/>
      <c r="I31" s="46"/>
    </row>
    <row r="32" spans="2:10">
      <c r="B32" s="46" t="str">
        <f>+'CUSTOM  INVOICE'!J10</f>
        <v>DHAKA, BD</v>
      </c>
      <c r="D32" s="51"/>
      <c r="E32" s="51" t="s">
        <v>19</v>
      </c>
      <c r="F32" s="46"/>
      <c r="G32" s="46"/>
      <c r="H32" s="51"/>
      <c r="I32" s="46"/>
    </row>
    <row r="33" spans="2:9">
      <c r="B33" s="46"/>
      <c r="D33" s="51"/>
      <c r="E33" s="46" t="s">
        <v>20</v>
      </c>
      <c r="F33" s="46"/>
      <c r="G33" s="46"/>
      <c r="H33" s="51"/>
      <c r="I33" s="46"/>
    </row>
    <row r="34" spans="2:9">
      <c r="D34" s="51"/>
      <c r="E34" s="52" t="s">
        <v>2</v>
      </c>
      <c r="F34" s="46"/>
      <c r="G34" s="46"/>
      <c r="H34" s="51"/>
      <c r="I34" s="46"/>
    </row>
    <row r="35" spans="2:9">
      <c r="D35" s="51"/>
      <c r="E35" s="46"/>
      <c r="F35" s="46"/>
      <c r="G35" s="46"/>
      <c r="H35" s="51"/>
      <c r="I35" s="46"/>
    </row>
    <row r="36" spans="2:9">
      <c r="D36" s="51"/>
      <c r="E36" s="46"/>
      <c r="F36" s="46"/>
      <c r="G36" s="46"/>
      <c r="H36" s="51"/>
      <c r="I36" s="46"/>
    </row>
    <row r="37" spans="2:9">
      <c r="D37" s="51"/>
      <c r="E37" s="46"/>
      <c r="F37" s="46"/>
      <c r="G37" s="46"/>
      <c r="H37" s="51"/>
      <c r="I37" s="46"/>
    </row>
    <row r="39" spans="2:9">
      <c r="E39" s="51" t="str">
        <f>+'CUSTOM  INVOICE'!A40</f>
        <v xml:space="preserve">TIN # 211-201-7957/Coy-20 </v>
      </c>
    </row>
    <row r="40" spans="2:9">
      <c r="E40" s="46" t="s">
        <v>21</v>
      </c>
    </row>
  </sheetData>
  <pageMargins left="0.75" right="0.24" top="0.47" bottom="1" header="0.18" footer="0.5"/>
  <pageSetup paperSize="9" orientation="portrait" blackAndWhite="1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topLeftCell="A16" zoomScaleNormal="100" workbookViewId="0">
      <selection activeCell="D32" sqref="D32"/>
    </sheetView>
  </sheetViews>
  <sheetFormatPr defaultColWidth="10.140625" defaultRowHeight="15"/>
  <cols>
    <col min="1" max="3" width="10.140625" style="12" customWidth="1"/>
    <col min="4" max="4" width="39" style="12" customWidth="1"/>
    <col min="5" max="9" width="10.140625" style="12" customWidth="1"/>
    <col min="10" max="10" width="7.5703125" style="12" customWidth="1"/>
    <col min="11" max="11" width="6.42578125" style="12" customWidth="1"/>
    <col min="12" max="16384" width="10.140625" style="12"/>
  </cols>
  <sheetData>
    <row r="1" spans="1:11" ht="15.75">
      <c r="A1" s="9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8.75">
      <c r="A2" s="182" t="s">
        <v>23</v>
      </c>
      <c r="B2" s="183"/>
      <c r="C2" s="183"/>
      <c r="D2" s="184"/>
      <c r="E2" s="182" t="s">
        <v>24</v>
      </c>
      <c r="F2" s="183"/>
      <c r="G2" s="184"/>
      <c r="H2" s="182" t="s">
        <v>25</v>
      </c>
      <c r="I2" s="183"/>
      <c r="J2" s="183"/>
      <c r="K2" s="184"/>
    </row>
    <row r="3" spans="1:11" ht="18.75" customHeight="1">
      <c r="A3" s="13" t="s">
        <v>26</v>
      </c>
      <c r="B3" s="14"/>
      <c r="C3" s="14"/>
      <c r="D3" s="14"/>
      <c r="E3" s="175"/>
      <c r="F3" s="176"/>
      <c r="G3" s="177"/>
      <c r="H3" s="175"/>
      <c r="I3" s="176"/>
      <c r="J3" s="176"/>
      <c r="K3" s="177"/>
    </row>
    <row r="4" spans="1:11" ht="18.75" customHeight="1">
      <c r="A4" s="13" t="s">
        <v>27</v>
      </c>
      <c r="B4" s="14"/>
      <c r="C4" s="14"/>
      <c r="D4" s="15"/>
      <c r="E4" s="175"/>
      <c r="F4" s="176"/>
      <c r="G4" s="177"/>
      <c r="H4" s="169"/>
      <c r="I4" s="170"/>
      <c r="J4" s="170"/>
      <c r="K4" s="171"/>
    </row>
    <row r="5" spans="1:11" ht="18.75" customHeight="1">
      <c r="A5" s="13" t="s">
        <v>28</v>
      </c>
      <c r="B5" s="14"/>
      <c r="C5" s="14"/>
      <c r="D5" s="14"/>
      <c r="E5" s="175"/>
      <c r="F5" s="176"/>
      <c r="G5" s="177"/>
      <c r="H5" s="182" t="s">
        <v>29</v>
      </c>
      <c r="I5" s="183"/>
      <c r="J5" s="183"/>
      <c r="K5" s="184"/>
    </row>
    <row r="6" spans="1:11" ht="18.75" customHeight="1">
      <c r="A6" s="13" t="s">
        <v>30</v>
      </c>
      <c r="B6" s="13"/>
      <c r="C6" s="13"/>
      <c r="D6" s="13"/>
      <c r="E6" s="175"/>
      <c r="F6" s="176"/>
      <c r="G6" s="177"/>
      <c r="H6" s="169"/>
      <c r="I6" s="170"/>
      <c r="J6" s="170"/>
      <c r="K6" s="171"/>
    </row>
    <row r="7" spans="1:11" ht="18.75">
      <c r="A7" s="229" t="s">
        <v>31</v>
      </c>
      <c r="B7" s="230"/>
      <c r="C7" s="230"/>
      <c r="D7" s="231"/>
      <c r="E7" s="16"/>
      <c r="F7" s="164"/>
      <c r="G7" s="164"/>
      <c r="H7" s="197"/>
      <c r="I7" s="197"/>
      <c r="J7" s="197"/>
      <c r="K7" s="17"/>
    </row>
    <row r="8" spans="1:11" ht="18.75">
      <c r="A8" s="182" t="s">
        <v>32</v>
      </c>
      <c r="B8" s="183"/>
      <c r="C8" s="183"/>
      <c r="D8" s="184"/>
      <c r="E8" s="212" t="s">
        <v>33</v>
      </c>
      <c r="F8" s="213"/>
      <c r="G8" s="213"/>
      <c r="H8" s="213"/>
      <c r="I8" s="213"/>
      <c r="J8" s="213"/>
      <c r="K8" s="214"/>
    </row>
    <row r="9" spans="1:11" ht="18.75" customHeight="1">
      <c r="A9" s="13" t="str">
        <f>+'CUSTOM  INVOICE'!C11</f>
        <v>EPIC GARMENTS MANUFACTURING CO.LTD.,(UNIT-2)</v>
      </c>
      <c r="B9" s="13"/>
      <c r="C9" s="13"/>
      <c r="D9" s="13"/>
      <c r="E9" s="215"/>
      <c r="F9" s="216"/>
      <c r="G9" s="216"/>
      <c r="H9" s="216"/>
      <c r="I9" s="216"/>
      <c r="J9" s="216"/>
      <c r="K9" s="217"/>
    </row>
    <row r="10" spans="1:11" ht="18.75" customHeight="1">
      <c r="A10" s="13" t="str">
        <f>+'CUSTOM  INVOICE'!C12</f>
        <v>SFB NO.08 (GROUND, 1ST,2ND,3RD &amp; 4TH FLOOR)</v>
      </c>
      <c r="B10" s="13"/>
      <c r="C10" s="13"/>
      <c r="D10" s="13"/>
      <c r="E10" s="218" t="s">
        <v>34</v>
      </c>
      <c r="F10" s="219"/>
      <c r="G10" s="219"/>
      <c r="H10" s="219"/>
      <c r="I10" s="219"/>
      <c r="J10" s="219"/>
      <c r="K10" s="220"/>
    </row>
    <row r="11" spans="1:11" ht="18.75" customHeight="1">
      <c r="A11" s="13" t="str">
        <f>+'CUSTOM  INVOICE'!C13</f>
        <v>DEPZ EXTENSION AREA, GONOK BARI, SAVAR,</v>
      </c>
      <c r="B11" s="13"/>
      <c r="C11" s="13"/>
      <c r="D11" s="18"/>
      <c r="E11" s="221" t="s">
        <v>35</v>
      </c>
      <c r="F11" s="221"/>
      <c r="G11" s="221"/>
      <c r="H11" s="221"/>
      <c r="I11" s="221"/>
      <c r="J11" s="221"/>
      <c r="K11" s="222"/>
    </row>
    <row r="12" spans="1:11" ht="18.75">
      <c r="A12" s="13">
        <f>+UTC!B11</f>
        <v>0</v>
      </c>
      <c r="B12" s="13"/>
      <c r="C12" s="14"/>
      <c r="D12" s="15"/>
      <c r="E12" s="172"/>
      <c r="F12" s="173"/>
      <c r="G12" s="173"/>
      <c r="H12" s="173"/>
      <c r="I12" s="173"/>
      <c r="J12" s="173"/>
      <c r="K12" s="174"/>
    </row>
    <row r="13" spans="1:11" ht="17.100000000000001" customHeight="1">
      <c r="A13" s="169" t="s">
        <v>36</v>
      </c>
      <c r="B13" s="170"/>
      <c r="C13" s="170"/>
      <c r="D13" s="171"/>
      <c r="E13" s="223"/>
      <c r="F13" s="224"/>
      <c r="G13" s="224"/>
      <c r="H13" s="224"/>
      <c r="I13" s="224"/>
      <c r="J13" s="224"/>
      <c r="K13" s="225"/>
    </row>
    <row r="14" spans="1:11" ht="18.75">
      <c r="A14" s="19" t="s">
        <v>37</v>
      </c>
      <c r="B14" s="20"/>
      <c r="C14" s="20"/>
      <c r="D14" s="21"/>
      <c r="E14" s="226" t="s">
        <v>38</v>
      </c>
      <c r="F14" s="227"/>
      <c r="G14" s="227"/>
      <c r="H14" s="227"/>
      <c r="I14" s="227"/>
      <c r="J14" s="227"/>
      <c r="K14" s="228"/>
    </row>
    <row r="15" spans="1:11" ht="23.1" customHeight="1">
      <c r="A15" s="13" t="s">
        <v>12</v>
      </c>
      <c r="B15" s="13"/>
      <c r="C15" s="22"/>
      <c r="D15" s="15"/>
      <c r="E15" s="175" t="s">
        <v>39</v>
      </c>
      <c r="F15" s="176"/>
      <c r="G15" s="176"/>
      <c r="H15" s="176"/>
      <c r="I15" s="176"/>
      <c r="J15" s="176"/>
      <c r="K15" s="177"/>
    </row>
    <row r="16" spans="1:11" ht="18.75">
      <c r="A16" s="13"/>
      <c r="B16" s="22"/>
      <c r="C16" s="22"/>
      <c r="D16" s="15"/>
      <c r="E16" s="169" t="s">
        <v>40</v>
      </c>
      <c r="F16" s="170"/>
      <c r="G16" s="170"/>
      <c r="H16" s="170"/>
      <c r="I16" s="170"/>
      <c r="J16" s="170"/>
      <c r="K16" s="171"/>
    </row>
    <row r="17" spans="1:11" ht="24">
      <c r="A17" s="13"/>
      <c r="B17" s="22"/>
      <c r="C17" s="22"/>
      <c r="D17" s="15"/>
      <c r="E17" s="23"/>
      <c r="F17" s="24"/>
      <c r="G17" s="24"/>
      <c r="H17" s="25"/>
      <c r="I17" s="24"/>
      <c r="J17" s="24"/>
      <c r="K17" s="26"/>
    </row>
    <row r="18" spans="1:11" ht="18.75">
      <c r="A18" s="13"/>
      <c r="B18" s="27"/>
      <c r="C18" s="27"/>
      <c r="D18" s="28"/>
      <c r="E18" s="182" t="s">
        <v>41</v>
      </c>
      <c r="F18" s="183"/>
      <c r="G18" s="183"/>
      <c r="H18" s="183"/>
      <c r="I18" s="183"/>
      <c r="J18" s="183"/>
      <c r="K18" s="184"/>
    </row>
    <row r="19" spans="1:11" ht="23.1" customHeight="1">
      <c r="A19" s="182" t="s">
        <v>42</v>
      </c>
      <c r="B19" s="184"/>
      <c r="C19" s="182" t="s">
        <v>43</v>
      </c>
      <c r="D19" s="184"/>
      <c r="E19" s="169" t="s">
        <v>44</v>
      </c>
      <c r="F19" s="170"/>
      <c r="G19" s="170"/>
      <c r="H19" s="170"/>
      <c r="I19" s="170"/>
      <c r="J19" s="170"/>
      <c r="K19" s="171"/>
    </row>
    <row r="20" spans="1:11">
      <c r="A20" s="169"/>
      <c r="B20" s="171"/>
      <c r="C20" s="169"/>
      <c r="D20" s="171"/>
      <c r="E20" s="182" t="s">
        <v>45</v>
      </c>
      <c r="F20" s="183"/>
      <c r="G20" s="183"/>
      <c r="H20" s="183"/>
      <c r="I20" s="183"/>
      <c r="J20" s="183"/>
      <c r="K20" s="184"/>
    </row>
    <row r="21" spans="1:11" ht="16.5" customHeight="1">
      <c r="A21" s="182" t="s">
        <v>46</v>
      </c>
      <c r="B21" s="184"/>
      <c r="C21" s="202" t="s">
        <v>47</v>
      </c>
      <c r="D21" s="203"/>
      <c r="E21" s="169"/>
      <c r="F21" s="170"/>
      <c r="G21" s="170"/>
      <c r="H21" s="170"/>
      <c r="I21" s="170"/>
      <c r="J21" s="170"/>
      <c r="K21" s="171"/>
    </row>
    <row r="22" spans="1:11" ht="16.5" customHeight="1">
      <c r="A22" s="169"/>
      <c r="B22" s="171"/>
      <c r="C22" s="204"/>
      <c r="D22" s="205"/>
      <c r="E22" s="206" t="s">
        <v>48</v>
      </c>
      <c r="F22" s="207"/>
      <c r="G22" s="207"/>
      <c r="H22" s="207"/>
      <c r="I22" s="207"/>
      <c r="J22" s="207"/>
      <c r="K22" s="208"/>
    </row>
    <row r="23" spans="1:11" ht="18.75">
      <c r="A23" s="202" t="s">
        <v>49</v>
      </c>
      <c r="B23" s="203"/>
      <c r="C23" s="182" t="s">
        <v>50</v>
      </c>
      <c r="D23" s="184"/>
      <c r="E23" s="209"/>
      <c r="F23" s="210"/>
      <c r="G23" s="210"/>
      <c r="H23" s="210"/>
      <c r="I23" s="210"/>
      <c r="J23" s="210"/>
      <c r="K23" s="211"/>
    </row>
    <row r="24" spans="1:11" ht="23.1" customHeight="1">
      <c r="A24" s="204"/>
      <c r="B24" s="205"/>
      <c r="C24" s="169" t="s">
        <v>51</v>
      </c>
      <c r="D24" s="171"/>
      <c r="E24" s="188"/>
      <c r="F24" s="189"/>
      <c r="G24" s="189"/>
      <c r="H24" s="189"/>
      <c r="I24" s="189"/>
      <c r="J24" s="189"/>
      <c r="K24" s="190"/>
    </row>
    <row r="25" spans="1:11" ht="37.35" customHeight="1">
      <c r="A25" s="194" t="s">
        <v>52</v>
      </c>
      <c r="B25" s="195"/>
      <c r="C25" s="195"/>
      <c r="D25" s="196"/>
      <c r="E25" s="191"/>
      <c r="F25" s="192"/>
      <c r="G25" s="192"/>
      <c r="H25" s="192"/>
      <c r="I25" s="192"/>
      <c r="J25" s="192"/>
      <c r="K25" s="193"/>
    </row>
    <row r="26" spans="1:11" ht="15.75">
      <c r="A26" s="9"/>
      <c r="B26" s="14"/>
      <c r="C26" s="14"/>
      <c r="D26" s="14"/>
      <c r="E26" s="197"/>
      <c r="F26" s="197"/>
      <c r="G26" s="198"/>
      <c r="H26" s="198"/>
      <c r="I26" s="198"/>
      <c r="J26" s="198"/>
      <c r="K26" s="199"/>
    </row>
    <row r="27" spans="1:11" ht="16.5" customHeight="1">
      <c r="A27" s="13"/>
      <c r="B27" s="14"/>
      <c r="C27" s="14" t="s">
        <v>17</v>
      </c>
      <c r="D27" s="29">
        <f>+'CUSTOM  INVOICE'!B25</f>
        <v>1</v>
      </c>
      <c r="E27" s="14" t="s">
        <v>53</v>
      </c>
      <c r="F27" s="14"/>
      <c r="G27" s="14"/>
      <c r="H27" s="14"/>
      <c r="I27" s="30" t="s">
        <v>54</v>
      </c>
      <c r="J27" s="14"/>
      <c r="K27" s="18"/>
    </row>
    <row r="28" spans="1:11" ht="15.75">
      <c r="A28" s="13"/>
      <c r="B28" s="14"/>
      <c r="C28" s="14"/>
      <c r="D28" s="14"/>
      <c r="E28" s="14"/>
      <c r="F28" s="14"/>
      <c r="G28" s="14"/>
      <c r="H28" s="14"/>
      <c r="I28" s="16"/>
      <c r="J28" s="14"/>
      <c r="K28" s="18"/>
    </row>
    <row r="29" spans="1:11" ht="15.75">
      <c r="A29" s="13" t="str">
        <f>+'CUSTOM  INVOICE'!J9</f>
        <v>EGMCL-FOC</v>
      </c>
      <c r="B29" s="14"/>
      <c r="C29" s="14"/>
      <c r="D29" s="14" t="s">
        <v>55</v>
      </c>
      <c r="E29" s="14"/>
      <c r="F29" s="14"/>
      <c r="G29" s="14"/>
      <c r="H29" s="14"/>
      <c r="I29" s="16"/>
      <c r="J29" s="14"/>
      <c r="K29" s="18"/>
    </row>
    <row r="30" spans="1:11" ht="15.75">
      <c r="A30" s="13" t="str">
        <f>+'CUSTOM  INVOICE'!J10</f>
        <v>DHAKA, BD</v>
      </c>
      <c r="B30" s="14"/>
      <c r="C30" s="14"/>
      <c r="D30" s="14"/>
      <c r="E30" s="14"/>
      <c r="F30" s="14"/>
      <c r="G30" s="14"/>
      <c r="H30" s="14"/>
      <c r="I30" s="16"/>
      <c r="J30" s="14"/>
      <c r="K30" s="18"/>
    </row>
    <row r="31" spans="1:11" ht="15.75">
      <c r="A31" s="13" t="str">
        <f>+'CUSTOM  INVOICE'!H13</f>
        <v xml:space="preserve"> </v>
      </c>
      <c r="B31" s="14"/>
      <c r="C31" s="14"/>
      <c r="D31" s="130" t="str">
        <f>+'CUSTOM  INVOICE'!A40</f>
        <v xml:space="preserve">TIN # 211-201-7957/Coy-20 </v>
      </c>
      <c r="E31" s="14"/>
      <c r="F31" s="14"/>
      <c r="G31" s="14"/>
      <c r="H31" s="14"/>
      <c r="I31" s="16"/>
      <c r="J31" s="14"/>
      <c r="K31" s="18"/>
    </row>
    <row r="32" spans="1:11" ht="15.75">
      <c r="A32" s="13" t="s">
        <v>2</v>
      </c>
      <c r="B32" s="14"/>
      <c r="C32" s="14"/>
      <c r="D32" s="31"/>
      <c r="E32" s="14"/>
      <c r="F32" s="14"/>
      <c r="G32" s="14"/>
      <c r="H32" s="14"/>
      <c r="I32" s="16"/>
      <c r="J32" s="14"/>
      <c r="K32" s="18"/>
    </row>
    <row r="33" spans="1:11" ht="15.75">
      <c r="A33" s="13" t="str">
        <f>+'CUSTOM  INVOICE'!H13</f>
        <v xml:space="preserve"> </v>
      </c>
      <c r="B33" s="14"/>
      <c r="C33" s="14"/>
      <c r="D33" s="14"/>
      <c r="E33" s="14"/>
      <c r="F33" s="14"/>
      <c r="G33" s="14"/>
      <c r="H33" s="14"/>
      <c r="I33" s="16"/>
      <c r="J33" s="14"/>
      <c r="K33" s="18"/>
    </row>
    <row r="34" spans="1:11" ht="15.75">
      <c r="A34" s="13"/>
      <c r="B34" s="14"/>
      <c r="C34" s="14"/>
      <c r="D34" s="14"/>
      <c r="E34" s="14"/>
      <c r="F34" s="14"/>
      <c r="G34" s="14"/>
      <c r="H34" s="14"/>
      <c r="I34" s="16"/>
      <c r="J34" s="14"/>
      <c r="K34" s="18"/>
    </row>
    <row r="35" spans="1:11" ht="15.75">
      <c r="A35" s="13"/>
      <c r="B35" s="14"/>
      <c r="C35" s="14"/>
      <c r="D35" s="14"/>
      <c r="E35" s="14"/>
      <c r="F35" s="14"/>
      <c r="G35" s="14"/>
      <c r="H35" s="14"/>
      <c r="I35" s="16"/>
      <c r="J35" s="14"/>
      <c r="K35" s="18"/>
    </row>
    <row r="36" spans="1:11" ht="15.75">
      <c r="A36" s="13"/>
      <c r="B36" s="14"/>
      <c r="C36" s="14"/>
      <c r="D36" s="32"/>
      <c r="E36" s="14"/>
      <c r="F36" s="14"/>
      <c r="G36" s="14"/>
      <c r="H36" s="14"/>
      <c r="I36" s="16"/>
      <c r="J36" s="14"/>
      <c r="K36" s="18"/>
    </row>
    <row r="37" spans="1:11" ht="15.75">
      <c r="A37" s="13"/>
      <c r="B37" s="14"/>
      <c r="C37" s="14"/>
      <c r="E37" s="14"/>
      <c r="F37" s="14"/>
      <c r="G37" s="14"/>
      <c r="H37" s="14"/>
      <c r="I37" s="16"/>
      <c r="J37" s="14"/>
      <c r="K37" s="18"/>
    </row>
    <row r="38" spans="1:11" ht="15.75">
      <c r="A38" s="13"/>
      <c r="B38" s="14"/>
      <c r="C38" s="14"/>
      <c r="E38" s="14"/>
      <c r="F38" s="14"/>
      <c r="G38" s="14"/>
      <c r="H38" s="14"/>
      <c r="I38" s="16"/>
      <c r="J38" s="14"/>
      <c r="K38" s="18"/>
    </row>
    <row r="39" spans="1:11" ht="15.75">
      <c r="A39" s="13"/>
      <c r="B39" s="14"/>
      <c r="E39" s="14"/>
      <c r="F39" s="14"/>
      <c r="G39" s="14"/>
      <c r="H39" s="14"/>
      <c r="I39" s="16"/>
      <c r="J39" s="14"/>
      <c r="K39" s="18"/>
    </row>
    <row r="40" spans="1:11" ht="15.75">
      <c r="A40" s="33"/>
      <c r="C40" s="14"/>
      <c r="D40" s="14"/>
      <c r="E40" s="14"/>
      <c r="F40" s="14"/>
      <c r="G40" s="14"/>
      <c r="H40" s="14"/>
      <c r="I40" s="16"/>
      <c r="J40" s="14"/>
      <c r="K40" s="18"/>
    </row>
    <row r="41" spans="1:11" ht="15.75">
      <c r="A41" s="13"/>
      <c r="B41" s="14"/>
      <c r="C41" s="14"/>
      <c r="D41" s="14"/>
      <c r="E41" s="14"/>
      <c r="F41" s="14"/>
      <c r="G41" s="14"/>
      <c r="H41" s="14"/>
      <c r="I41" s="16"/>
      <c r="J41" s="14"/>
      <c r="K41" s="18"/>
    </row>
    <row r="42" spans="1:11" ht="15.75">
      <c r="A42" s="13"/>
      <c r="B42" s="14"/>
      <c r="C42" s="14"/>
      <c r="D42" s="14"/>
      <c r="E42" s="164"/>
      <c r="F42" s="164"/>
      <c r="G42" s="164"/>
      <c r="H42" s="164"/>
      <c r="I42" s="16"/>
      <c r="J42" s="164"/>
      <c r="K42" s="165"/>
    </row>
    <row r="43" spans="1:11" ht="15.75">
      <c r="A43" s="34"/>
      <c r="B43" s="35"/>
      <c r="C43" s="35"/>
      <c r="D43" s="35"/>
      <c r="E43" s="36"/>
      <c r="F43" s="36"/>
      <c r="G43" s="36"/>
      <c r="H43" s="36"/>
      <c r="I43" s="16"/>
      <c r="J43" s="36"/>
      <c r="K43" s="37"/>
    </row>
    <row r="44" spans="1:11" ht="37.5">
      <c r="A44" s="38" t="s">
        <v>56</v>
      </c>
      <c r="B44" s="194" t="s">
        <v>57</v>
      </c>
      <c r="C44" s="196"/>
      <c r="D44" s="39" t="s">
        <v>58</v>
      </c>
      <c r="E44" s="194" t="s">
        <v>59</v>
      </c>
      <c r="F44" s="195"/>
      <c r="G44" s="196"/>
      <c r="H44" s="194" t="s">
        <v>60</v>
      </c>
      <c r="I44" s="195"/>
      <c r="J44" s="195"/>
      <c r="K44" s="196"/>
    </row>
    <row r="45" spans="1:11" ht="15.75">
      <c r="A45" s="200"/>
      <c r="B45" s="197"/>
      <c r="C45" s="197"/>
      <c r="D45" s="197"/>
      <c r="E45" s="197"/>
      <c r="F45" s="197"/>
      <c r="G45" s="197"/>
      <c r="H45" s="197"/>
      <c r="I45" s="197"/>
      <c r="J45" s="197"/>
      <c r="K45" s="201"/>
    </row>
    <row r="46" spans="1:11" ht="15.75">
      <c r="A46" s="163" t="s">
        <v>61</v>
      </c>
      <c r="B46" s="164"/>
      <c r="C46" s="164"/>
      <c r="D46" s="164"/>
      <c r="E46" s="164"/>
      <c r="F46" s="164"/>
      <c r="G46" s="164"/>
      <c r="H46" s="164"/>
      <c r="I46" s="164"/>
      <c r="J46" s="164"/>
      <c r="K46" s="165"/>
    </row>
    <row r="47" spans="1:11" ht="16.350000000000001" customHeight="1">
      <c r="A47" s="185" t="s">
        <v>62</v>
      </c>
      <c r="B47" s="186"/>
      <c r="C47" s="186"/>
      <c r="D47" s="186"/>
      <c r="E47" s="186"/>
      <c r="F47" s="186"/>
      <c r="G47" s="186"/>
      <c r="H47" s="186"/>
      <c r="I47" s="186"/>
      <c r="J47" s="186"/>
      <c r="K47" s="187"/>
    </row>
    <row r="48" spans="1:11" ht="18.75">
      <c r="A48" s="179" t="s">
        <v>63</v>
      </c>
      <c r="B48" s="180"/>
      <c r="C48" s="180"/>
      <c r="D48" s="181"/>
      <c r="E48" s="182" t="s">
        <v>64</v>
      </c>
      <c r="F48" s="183"/>
      <c r="G48" s="183"/>
      <c r="H48" s="183"/>
      <c r="I48" s="183"/>
      <c r="J48" s="183"/>
      <c r="K48" s="184"/>
    </row>
    <row r="49" spans="1:11" ht="18.75" customHeight="1">
      <c r="A49" s="160" t="s">
        <v>65</v>
      </c>
      <c r="B49" s="173" t="s">
        <v>65</v>
      </c>
      <c r="C49" s="173" t="s">
        <v>65</v>
      </c>
      <c r="D49" s="174" t="s">
        <v>65</v>
      </c>
      <c r="E49" s="175"/>
      <c r="F49" s="176"/>
      <c r="G49" s="176"/>
      <c r="H49" s="176"/>
      <c r="I49" s="176"/>
      <c r="J49" s="176"/>
      <c r="K49" s="177"/>
    </row>
    <row r="50" spans="1:11" ht="35.25" customHeight="1">
      <c r="A50" s="160" t="s">
        <v>66</v>
      </c>
      <c r="B50" s="161" t="s">
        <v>66</v>
      </c>
      <c r="C50" s="161" t="s">
        <v>66</v>
      </c>
      <c r="D50" s="162" t="s">
        <v>66</v>
      </c>
      <c r="E50" s="176"/>
      <c r="F50" s="176"/>
      <c r="G50" s="176"/>
      <c r="H50" s="176"/>
      <c r="I50" s="176"/>
      <c r="J50" s="176"/>
      <c r="K50" s="177"/>
    </row>
    <row r="51" spans="1:11" ht="18.75" customHeight="1">
      <c r="A51" s="172" t="s">
        <v>67</v>
      </c>
      <c r="B51" s="173"/>
      <c r="C51" s="173"/>
      <c r="D51" s="174"/>
      <c r="E51" s="175"/>
      <c r="F51" s="176"/>
      <c r="G51" s="176"/>
      <c r="H51" s="176"/>
      <c r="I51" s="176"/>
      <c r="J51" s="176"/>
      <c r="K51" s="177"/>
    </row>
    <row r="52" spans="1:11" ht="16.350000000000001" customHeight="1">
      <c r="A52" s="172" t="s">
        <v>68</v>
      </c>
      <c r="B52" s="173"/>
      <c r="C52" s="173"/>
      <c r="D52" s="174"/>
      <c r="E52" s="175"/>
      <c r="F52" s="176"/>
      <c r="G52" s="176"/>
      <c r="H52" s="176"/>
      <c r="I52" s="176"/>
      <c r="J52" s="176"/>
      <c r="K52" s="177"/>
    </row>
    <row r="53" spans="1:11" ht="18.75" customHeight="1">
      <c r="A53" s="178" t="s">
        <v>69</v>
      </c>
      <c r="B53" s="161"/>
      <c r="C53" s="161"/>
      <c r="D53" s="162"/>
      <c r="E53" s="175" t="s">
        <v>70</v>
      </c>
      <c r="F53" s="176"/>
      <c r="G53" s="176"/>
      <c r="H53" s="176"/>
      <c r="I53" s="176"/>
      <c r="J53" s="176"/>
      <c r="K53" s="177"/>
    </row>
    <row r="54" spans="1:11" ht="16.5" customHeight="1">
      <c r="A54" s="160" t="s">
        <v>71</v>
      </c>
      <c r="B54" s="161"/>
      <c r="C54" s="161"/>
      <c r="D54" s="162"/>
      <c r="E54" s="16"/>
      <c r="F54" s="164"/>
      <c r="G54" s="164"/>
      <c r="H54" s="164"/>
      <c r="I54" s="164"/>
      <c r="J54" s="164"/>
      <c r="K54" s="40"/>
    </row>
    <row r="55" spans="1:11" ht="16.5" customHeight="1">
      <c r="A55" s="160" t="s">
        <v>72</v>
      </c>
      <c r="B55" s="161"/>
      <c r="C55" s="161"/>
      <c r="D55" s="162"/>
      <c r="E55" s="16"/>
      <c r="F55" s="16"/>
      <c r="G55" s="16"/>
      <c r="H55" s="16"/>
      <c r="I55" s="16"/>
      <c r="J55" s="16"/>
      <c r="K55" s="40"/>
    </row>
    <row r="56" spans="1:11" ht="16.5" customHeight="1">
      <c r="A56" s="160" t="s">
        <v>73</v>
      </c>
      <c r="B56" s="161"/>
      <c r="C56" s="161"/>
      <c r="D56" s="162"/>
      <c r="E56" s="163"/>
      <c r="F56" s="164"/>
      <c r="G56" s="164"/>
      <c r="H56" s="164"/>
      <c r="I56" s="164"/>
      <c r="J56" s="164"/>
      <c r="K56" s="165"/>
    </row>
    <row r="57" spans="1:11" ht="16.5" customHeight="1">
      <c r="A57" s="160" t="s">
        <v>74</v>
      </c>
      <c r="B57" s="161"/>
      <c r="C57" s="161"/>
      <c r="D57" s="162"/>
      <c r="E57" s="163" t="s">
        <v>75</v>
      </c>
      <c r="F57" s="164"/>
      <c r="G57" s="164"/>
      <c r="H57" s="164"/>
      <c r="I57" s="164"/>
      <c r="J57" s="164"/>
      <c r="K57" s="165"/>
    </row>
    <row r="58" spans="1:11" ht="18.75">
      <c r="A58" s="166" t="s">
        <v>76</v>
      </c>
      <c r="B58" s="167"/>
      <c r="C58" s="167"/>
      <c r="D58" s="168"/>
      <c r="E58" s="169" t="s">
        <v>77</v>
      </c>
      <c r="F58" s="170"/>
      <c r="G58" s="170"/>
      <c r="H58" s="170"/>
      <c r="I58" s="170"/>
      <c r="J58" s="170"/>
      <c r="K58" s="171"/>
    </row>
    <row r="59" spans="1:1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</row>
    <row r="60" spans="1:11" ht="15.75">
      <c r="A60" s="14"/>
    </row>
  </sheetData>
  <mergeCells count="64">
    <mergeCell ref="A2:D2"/>
    <mergeCell ref="E2:G6"/>
    <mergeCell ref="H2:K4"/>
    <mergeCell ref="H5:K6"/>
    <mergeCell ref="A7:D7"/>
    <mergeCell ref="F7:G7"/>
    <mergeCell ref="H7:J7"/>
    <mergeCell ref="E18:K18"/>
    <mergeCell ref="A8:D8"/>
    <mergeCell ref="E8:K8"/>
    <mergeCell ref="E9:K9"/>
    <mergeCell ref="E10:K10"/>
    <mergeCell ref="E11:K11"/>
    <mergeCell ref="E12:K12"/>
    <mergeCell ref="A13:D13"/>
    <mergeCell ref="E13:K13"/>
    <mergeCell ref="E14:K14"/>
    <mergeCell ref="E15:K15"/>
    <mergeCell ref="E16:K16"/>
    <mergeCell ref="A19:B20"/>
    <mergeCell ref="C19:D20"/>
    <mergeCell ref="E19:K19"/>
    <mergeCell ref="E20:K21"/>
    <mergeCell ref="A21:B22"/>
    <mergeCell ref="C21:D22"/>
    <mergeCell ref="E22:K23"/>
    <mergeCell ref="A23:B24"/>
    <mergeCell ref="C23:D23"/>
    <mergeCell ref="C24:D24"/>
    <mergeCell ref="A47:K47"/>
    <mergeCell ref="E24:K25"/>
    <mergeCell ref="A25:D25"/>
    <mergeCell ref="E26:F26"/>
    <mergeCell ref="G26:K26"/>
    <mergeCell ref="E42:F42"/>
    <mergeCell ref="G42:H42"/>
    <mergeCell ref="J42:K42"/>
    <mergeCell ref="B44:C44"/>
    <mergeCell ref="E44:G44"/>
    <mergeCell ref="H44:K44"/>
    <mergeCell ref="A45:K45"/>
    <mergeCell ref="A46:K46"/>
    <mergeCell ref="A48:D48"/>
    <mergeCell ref="E48:K48"/>
    <mergeCell ref="A49:D49"/>
    <mergeCell ref="E49:K49"/>
    <mergeCell ref="A50:D50"/>
    <mergeCell ref="E50:K50"/>
    <mergeCell ref="A51:D51"/>
    <mergeCell ref="E51:K51"/>
    <mergeCell ref="A52:D52"/>
    <mergeCell ref="E52:K52"/>
    <mergeCell ref="A53:D53"/>
    <mergeCell ref="E53:K53"/>
    <mergeCell ref="A57:D57"/>
    <mergeCell ref="E57:K57"/>
    <mergeCell ref="A58:D58"/>
    <mergeCell ref="E58:K58"/>
    <mergeCell ref="A54:D54"/>
    <mergeCell ref="F54:G54"/>
    <mergeCell ref="H54:J54"/>
    <mergeCell ref="A55:D55"/>
    <mergeCell ref="A56:D56"/>
    <mergeCell ref="E56:K56"/>
  </mergeCells>
  <pageMargins left="0.39370078740157499" right="0" top="0.39370078740157499" bottom="0.196850393700787" header="0.196850393700787" footer="0.196850393700787"/>
  <pageSetup paperSize="9" scale="73" orientation="portrait" blackAndWhite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tabSelected="1" topLeftCell="A6" zoomScale="160" zoomScaleNormal="160" workbookViewId="0">
      <selection activeCell="F14" sqref="F14"/>
    </sheetView>
  </sheetViews>
  <sheetFormatPr defaultRowHeight="12.75"/>
  <cols>
    <col min="3" max="3" width="10.5703125" customWidth="1"/>
    <col min="4" max="4" width="12.85546875" customWidth="1"/>
    <col min="5" max="5" width="16.42578125" customWidth="1"/>
    <col min="6" max="6" width="8" customWidth="1"/>
    <col min="7" max="7" width="6.5703125" customWidth="1"/>
    <col min="8" max="8" width="8.140625" customWidth="1"/>
    <col min="9" max="9" width="4.140625" customWidth="1"/>
    <col min="10" max="10" width="11.5703125" customWidth="1"/>
  </cols>
  <sheetData>
    <row r="1" spans="1:10" s="3" customFormat="1" ht="26.25">
      <c r="E1" s="53" t="s">
        <v>0</v>
      </c>
    </row>
    <row r="2" spans="1:10" s="46" customFormat="1" ht="12.75" customHeight="1">
      <c r="E2" s="54" t="s">
        <v>78</v>
      </c>
    </row>
    <row r="3" spans="1:10" s="46" customFormat="1" ht="12.75" customHeight="1">
      <c r="E3" s="54" t="s">
        <v>79</v>
      </c>
    </row>
    <row r="4" spans="1:10" s="46" customFormat="1" ht="12.75" customHeight="1">
      <c r="E4" s="54" t="s">
        <v>80</v>
      </c>
    </row>
    <row r="5" spans="1:10" s="46" customFormat="1" ht="12.75" customHeight="1">
      <c r="E5" s="54" t="s">
        <v>81</v>
      </c>
    </row>
    <row r="6" spans="1:10" s="46" customFormat="1" ht="12.75" customHeight="1">
      <c r="D6" s="55"/>
    </row>
    <row r="7" spans="1:10" ht="18">
      <c r="E7" s="56" t="s">
        <v>82</v>
      </c>
    </row>
    <row r="8" spans="1:10">
      <c r="E8" s="46"/>
    </row>
    <row r="9" spans="1:10">
      <c r="A9" t="s">
        <v>83</v>
      </c>
      <c r="D9" s="158">
        <f ca="1">TODAY()</f>
        <v>46301</v>
      </c>
      <c r="G9" s="57" t="s">
        <v>84</v>
      </c>
      <c r="J9" t="s">
        <v>85</v>
      </c>
    </row>
    <row r="10" spans="1:10">
      <c r="H10" t="s">
        <v>2</v>
      </c>
      <c r="I10" s="58"/>
      <c r="J10" t="s">
        <v>86</v>
      </c>
    </row>
    <row r="11" spans="1:10">
      <c r="A11" t="s">
        <v>87</v>
      </c>
      <c r="C11" t="s">
        <v>88</v>
      </c>
      <c r="D11" s="3"/>
      <c r="E11" s="3"/>
      <c r="F11" s="3"/>
      <c r="I11" s="3"/>
      <c r="J11" s="3"/>
    </row>
    <row r="12" spans="1:10">
      <c r="C12" s="3" t="s">
        <v>89</v>
      </c>
      <c r="D12" s="3"/>
      <c r="E12" s="3"/>
      <c r="F12" s="3"/>
      <c r="I12" s="3"/>
      <c r="J12" s="3"/>
    </row>
    <row r="13" spans="1:10">
      <c r="C13" s="3" t="s">
        <v>90</v>
      </c>
      <c r="D13" s="3"/>
      <c r="E13" s="3"/>
      <c r="F13" s="3"/>
      <c r="G13" s="3"/>
      <c r="H13" t="s">
        <v>2</v>
      </c>
      <c r="I13" s="3"/>
      <c r="J13" s="3"/>
    </row>
    <row r="14" spans="1:10">
      <c r="C14" t="s">
        <v>91</v>
      </c>
      <c r="J14" s="59"/>
    </row>
    <row r="15" spans="1:10">
      <c r="C15" t="s">
        <v>92</v>
      </c>
      <c r="J15" s="59"/>
    </row>
    <row r="16" spans="1:10">
      <c r="J16" s="59"/>
    </row>
    <row r="17" spans="1:10">
      <c r="B17" s="60"/>
      <c r="C17" s="150"/>
      <c r="D17" s="134"/>
    </row>
    <row r="18" spans="1:10">
      <c r="A18" t="s">
        <v>2</v>
      </c>
      <c r="B18" s="60"/>
      <c r="C18" s="61" t="s">
        <v>2</v>
      </c>
      <c r="D18" s="61" t="s">
        <v>2</v>
      </c>
    </row>
    <row r="19" spans="1:10">
      <c r="A19" t="s">
        <v>93</v>
      </c>
      <c r="E19" s="61" t="s">
        <v>94</v>
      </c>
    </row>
    <row r="20" spans="1:10">
      <c r="E20" s="61"/>
    </row>
    <row r="21" spans="1:10">
      <c r="A21" s="62" t="s">
        <v>95</v>
      </c>
    </row>
    <row r="23" spans="1:10">
      <c r="A23" t="s">
        <v>96</v>
      </c>
      <c r="D23" s="61" t="s">
        <v>127</v>
      </c>
    </row>
    <row r="25" spans="1:10">
      <c r="A25" s="46" t="s">
        <v>17</v>
      </c>
      <c r="B25" s="54">
        <v>1</v>
      </c>
      <c r="C25" s="46" t="s">
        <v>97</v>
      </c>
      <c r="E25" s="151" t="s">
        <v>98</v>
      </c>
      <c r="F25" s="152">
        <v>1</v>
      </c>
      <c r="G25" s="46" t="s">
        <v>99</v>
      </c>
    </row>
    <row r="26" spans="1:10">
      <c r="H26" s="63"/>
      <c r="I26" s="63"/>
      <c r="J26" s="63"/>
    </row>
    <row r="27" spans="1:10">
      <c r="A27" s="57" t="s">
        <v>100</v>
      </c>
      <c r="B27" s="57" t="s">
        <v>101</v>
      </c>
      <c r="F27" s="57" t="s">
        <v>102</v>
      </c>
      <c r="G27" s="57"/>
      <c r="H27" s="64"/>
      <c r="I27" s="64"/>
      <c r="J27" s="64"/>
    </row>
    <row r="28" spans="1:10">
      <c r="A28" s="57"/>
      <c r="B28" s="57"/>
      <c r="F28" s="57"/>
      <c r="G28" s="57"/>
      <c r="H28" s="65"/>
      <c r="I28" s="65"/>
      <c r="J28" s="65"/>
    </row>
    <row r="29" spans="1:10">
      <c r="A29" s="57"/>
      <c r="B29" s="66"/>
      <c r="C29" s="3"/>
      <c r="D29" s="3"/>
      <c r="E29" s="3"/>
      <c r="F29" s="3"/>
      <c r="G29" s="3"/>
      <c r="H29" s="3"/>
    </row>
    <row r="30" spans="1:10" ht="12.75" customHeight="1">
      <c r="A30" s="57"/>
      <c r="B30" s="66"/>
      <c r="C30" s="3"/>
      <c r="D30" s="3"/>
      <c r="E30" s="3"/>
      <c r="F30" s="3"/>
      <c r="G30" s="3"/>
      <c r="H30" s="3"/>
    </row>
    <row r="31" spans="1:10" ht="12.75" customHeight="1">
      <c r="A31" s="131" t="s">
        <v>103</v>
      </c>
      <c r="B31" t="s">
        <v>128</v>
      </c>
      <c r="C31" s="3"/>
      <c r="D31" s="3"/>
      <c r="E31" s="3"/>
      <c r="F31" s="157">
        <v>6</v>
      </c>
      <c r="G31" t="s">
        <v>126</v>
      </c>
      <c r="H31" s="67"/>
      <c r="I31" s="68"/>
      <c r="J31" s="69"/>
    </row>
    <row r="32" spans="1:10" ht="12.75" customHeight="1">
      <c r="A32" s="65"/>
      <c r="C32" s="3"/>
      <c r="D32" s="3"/>
      <c r="E32" s="3"/>
      <c r="F32" s="132"/>
      <c r="H32" s="67"/>
      <c r="I32" s="68"/>
      <c r="J32" s="69"/>
    </row>
    <row r="33" spans="1:12" ht="12.75" customHeight="1">
      <c r="A33" s="65"/>
      <c r="C33" s="3"/>
      <c r="D33" s="3"/>
      <c r="E33" s="3"/>
      <c r="F33" s="132"/>
      <c r="H33" s="67"/>
      <c r="I33" s="68"/>
      <c r="J33" s="69"/>
    </row>
    <row r="34" spans="1:12" ht="12.75" customHeight="1">
      <c r="C34" s="3"/>
      <c r="D34" s="3"/>
      <c r="E34" s="3"/>
      <c r="F34" s="132"/>
      <c r="H34" s="70"/>
      <c r="I34" s="70"/>
      <c r="J34" s="70"/>
    </row>
    <row r="35" spans="1:12" ht="12.75" customHeight="1">
      <c r="C35" s="3"/>
      <c r="D35" s="3"/>
      <c r="E35" s="3"/>
      <c r="F35" s="132"/>
      <c r="H35" s="70"/>
      <c r="I35" s="71"/>
      <c r="J35" s="71"/>
      <c r="K35" s="63"/>
      <c r="L35" s="63"/>
    </row>
    <row r="36" spans="1:12" ht="12.75" customHeight="1" thickBot="1">
      <c r="B36" s="71"/>
      <c r="C36" s="71"/>
      <c r="D36" s="72"/>
      <c r="E36" s="77" t="s">
        <v>104</v>
      </c>
      <c r="F36" s="159">
        <v>1</v>
      </c>
      <c r="G36" s="159"/>
      <c r="H36" s="70"/>
      <c r="I36" s="71"/>
      <c r="J36" s="71"/>
      <c r="K36" s="63"/>
      <c r="L36" s="63"/>
    </row>
    <row r="37" spans="1:12" ht="13.5" thickTop="1">
      <c r="B37" s="63"/>
      <c r="C37" s="63"/>
      <c r="D37" s="73"/>
      <c r="E37" s="63"/>
      <c r="F37" s="63"/>
      <c r="G37" s="63"/>
      <c r="H37" s="63"/>
      <c r="I37" s="63"/>
      <c r="J37" s="63"/>
      <c r="K37" s="63"/>
      <c r="L37" s="63"/>
    </row>
    <row r="38" spans="1:12">
      <c r="D38" s="73"/>
      <c r="F38" s="74"/>
      <c r="G38" s="65"/>
      <c r="H38" s="75"/>
      <c r="I38" s="76"/>
      <c r="J38" s="76"/>
      <c r="K38" s="63"/>
      <c r="L38" s="63"/>
    </row>
    <row r="39" spans="1:12">
      <c r="A39" s="77"/>
      <c r="B39" s="78"/>
      <c r="C39" s="79"/>
      <c r="D39" s="61"/>
      <c r="E39" s="79"/>
      <c r="F39" s="61"/>
      <c r="G39" s="3"/>
      <c r="H39" s="80"/>
      <c r="I39" s="68"/>
      <c r="J39" s="68"/>
    </row>
    <row r="40" spans="1:12">
      <c r="A40" s="62" t="s">
        <v>105</v>
      </c>
      <c r="B40" s="61"/>
      <c r="C40" s="79"/>
      <c r="D40" s="61"/>
      <c r="E40" s="79"/>
      <c r="F40" s="60"/>
      <c r="G40" s="3"/>
      <c r="H40" s="81"/>
      <c r="I40" s="68"/>
      <c r="J40" s="68"/>
    </row>
    <row r="41" spans="1:12">
      <c r="A41" s="82"/>
      <c r="B41" s="61"/>
      <c r="C41" s="79"/>
      <c r="D41" s="61"/>
      <c r="E41" s="79"/>
      <c r="F41" s="60"/>
      <c r="G41" s="3"/>
      <c r="H41" s="81"/>
      <c r="I41" s="68"/>
      <c r="J41" s="68"/>
    </row>
    <row r="42" spans="1:12">
      <c r="A42" s="58" t="s">
        <v>8</v>
      </c>
      <c r="B42" s="61"/>
      <c r="C42" s="3"/>
      <c r="D42" s="61"/>
      <c r="E42" s="79"/>
      <c r="F42" s="60"/>
      <c r="G42" s="3"/>
      <c r="H42" s="81"/>
      <c r="I42" s="68"/>
      <c r="J42" s="68"/>
    </row>
    <row r="43" spans="1:12">
      <c r="A43" s="58" t="s">
        <v>106</v>
      </c>
      <c r="B43" s="61"/>
      <c r="C43" s="3"/>
      <c r="D43" s="61"/>
      <c r="E43" s="79"/>
      <c r="F43" s="60"/>
      <c r="G43" s="3"/>
      <c r="H43" s="81"/>
      <c r="I43" s="68"/>
      <c r="J43" s="68"/>
    </row>
    <row r="44" spans="1:12">
      <c r="A44" s="77"/>
      <c r="B44" s="61"/>
      <c r="D44" s="61"/>
      <c r="E44" s="79"/>
      <c r="H44" s="68"/>
      <c r="I44" s="68"/>
      <c r="J44" s="83"/>
    </row>
    <row r="45" spans="1:12">
      <c r="H45" s="68"/>
      <c r="I45" s="68"/>
    </row>
    <row r="46" spans="1:12">
      <c r="H46" s="68"/>
      <c r="I46" s="68"/>
      <c r="J46" s="83"/>
    </row>
    <row r="47" spans="1:12">
      <c r="B47" s="61"/>
      <c r="C47" s="3"/>
      <c r="H47" s="68"/>
      <c r="I47" s="68"/>
      <c r="J47" s="83"/>
    </row>
    <row r="48" spans="1:12">
      <c r="C48" s="3"/>
      <c r="H48" s="68"/>
      <c r="I48" s="68"/>
      <c r="J48" s="83"/>
    </row>
  </sheetData>
  <mergeCells count="1">
    <mergeCell ref="F36:G36"/>
  </mergeCells>
  <pageMargins left="0.43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BCF4-0C7D-4221-BCA0-0412D2BA442A}">
  <dimension ref="A1:N33"/>
  <sheetViews>
    <sheetView topLeftCell="A5" zoomScale="160" zoomScaleNormal="160" workbookViewId="0">
      <selection activeCell="E29" sqref="E29"/>
    </sheetView>
  </sheetViews>
  <sheetFormatPr defaultRowHeight="12.75"/>
  <cols>
    <col min="1" max="1" width="3.5703125" customWidth="1"/>
    <col min="2" max="2" width="5" customWidth="1"/>
    <col min="3" max="3" width="2.85546875" customWidth="1"/>
    <col min="5" max="5" width="10.42578125" bestFit="1" customWidth="1"/>
    <col min="6" max="6" width="3.5703125" customWidth="1"/>
    <col min="7" max="7" width="6.140625" customWidth="1"/>
    <col min="8" max="8" width="3.140625" customWidth="1"/>
    <col min="9" max="9" width="6.42578125" customWidth="1"/>
    <col min="10" max="10" width="3.42578125" customWidth="1"/>
    <col min="11" max="11" width="4.5703125" customWidth="1"/>
    <col min="12" max="12" width="4" customWidth="1"/>
    <col min="13" max="13" width="9.140625" customWidth="1"/>
  </cols>
  <sheetData>
    <row r="1" spans="1:14">
      <c r="A1" s="135"/>
      <c r="B1" s="135"/>
      <c r="C1" s="135"/>
      <c r="D1" s="135"/>
      <c r="E1" s="79"/>
      <c r="F1" s="79"/>
      <c r="G1" s="79"/>
      <c r="H1" s="79"/>
      <c r="I1" s="79"/>
      <c r="J1" s="79"/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4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4" ht="11.1" customHeight="1">
      <c r="A5" s="79"/>
      <c r="B5" s="79"/>
      <c r="C5" s="79"/>
      <c r="D5" s="79"/>
      <c r="E5" s="79"/>
      <c r="F5" s="79"/>
      <c r="G5" s="79"/>
      <c r="H5" s="79"/>
      <c r="I5" s="79"/>
      <c r="J5" s="79"/>
    </row>
    <row r="6" spans="1:14" ht="12.6" customHeight="1">
      <c r="A6" s="135"/>
      <c r="D6" s="79"/>
      <c r="E6" s="136" t="s">
        <v>107</v>
      </c>
      <c r="F6" s="79"/>
      <c r="G6" s="79"/>
      <c r="H6" s="79"/>
      <c r="I6" s="139">
        <f>+'CUSTOM  INVOICE'!B25</f>
        <v>1</v>
      </c>
      <c r="J6" s="79"/>
    </row>
    <row r="7" spans="1:14" ht="16.5" customHeight="1">
      <c r="A7" s="137"/>
      <c r="C7" s="138" t="str">
        <f>+'CUSTOM  INVOICE'!D23</f>
        <v>S/ 5157 /26</v>
      </c>
      <c r="D7" s="138"/>
      <c r="E7" s="79"/>
      <c r="F7" s="79"/>
      <c r="G7" s="79"/>
      <c r="H7" s="79"/>
      <c r="I7" s="79"/>
      <c r="J7" s="79"/>
    </row>
    <row r="8" spans="1:14" ht="13.5" customHeight="1">
      <c r="F8" s="79"/>
      <c r="G8" s="79"/>
      <c r="J8" s="79"/>
    </row>
    <row r="9" spans="1:14">
      <c r="B9" s="79" t="str">
        <f>+'CUSTOM  INVOICE'!E1</f>
        <v>ALPHA START LIMITED</v>
      </c>
      <c r="C9" s="79"/>
      <c r="D9" s="79"/>
      <c r="E9" s="79"/>
      <c r="F9" s="79"/>
      <c r="G9" s="79"/>
    </row>
    <row r="10" spans="1:14" ht="11.25" customHeight="1">
      <c r="B10" s="79"/>
      <c r="C10" s="79"/>
      <c r="D10" s="79"/>
      <c r="E10" s="79"/>
      <c r="F10" s="79"/>
      <c r="G10" s="79"/>
      <c r="H10" s="142" t="s">
        <v>6</v>
      </c>
      <c r="I10" s="140"/>
      <c r="J10" s="140"/>
      <c r="K10" s="141"/>
      <c r="L10" s="141"/>
      <c r="M10" s="141"/>
      <c r="N10" s="141"/>
    </row>
    <row r="11" spans="1:14" ht="11.25" customHeight="1">
      <c r="B11" s="79" t="str">
        <f>+'CUSTOM  INVOICE'!E2</f>
        <v>7/F, EGL TOWER</v>
      </c>
      <c r="C11" s="79"/>
      <c r="D11" s="79"/>
      <c r="E11" s="79"/>
      <c r="F11" s="79"/>
      <c r="G11" s="79"/>
      <c r="H11" s="143" t="str">
        <f>+'CUSTOM  INVOICE'!A42</f>
        <v>SAMPLE OF NO COMMERCIAL VALUE</v>
      </c>
      <c r="I11" s="140"/>
      <c r="J11" s="140"/>
      <c r="K11" s="141"/>
      <c r="L11" s="141"/>
      <c r="M11" s="141"/>
      <c r="N11" s="141"/>
    </row>
    <row r="12" spans="1:14" ht="11.25" customHeight="1">
      <c r="B12" s="79" t="str">
        <f>+'CUSTOM  INVOICE'!E3</f>
        <v>83 HUNG TO ROAD, KWUN TONG</v>
      </c>
      <c r="C12" s="79"/>
      <c r="D12" s="79"/>
      <c r="E12" s="79"/>
      <c r="F12" s="79"/>
      <c r="G12" s="79"/>
      <c r="H12" s="140"/>
      <c r="I12" s="140"/>
      <c r="J12" s="140"/>
      <c r="K12" s="141"/>
      <c r="L12" s="141"/>
      <c r="M12" s="141"/>
      <c r="N12" s="141"/>
    </row>
    <row r="13" spans="1:14" ht="13.5" customHeight="1">
      <c r="B13" s="79" t="str">
        <f>+'CUSTOM  INVOICE'!E4</f>
        <v>KOWLOON, HONG KONG.</v>
      </c>
      <c r="C13" s="79"/>
      <c r="D13" s="79"/>
      <c r="E13" s="79"/>
      <c r="F13" s="79"/>
      <c r="G13" s="79"/>
    </row>
    <row r="14" spans="1:14" ht="9.75" customHeight="1">
      <c r="A14" s="79"/>
      <c r="B14" s="79"/>
      <c r="C14" s="79"/>
      <c r="D14" s="79"/>
      <c r="E14" s="79"/>
      <c r="F14" s="79"/>
      <c r="G14" s="79"/>
      <c r="H14" s="140"/>
      <c r="I14" s="140"/>
      <c r="J14" s="143"/>
      <c r="K14" s="140"/>
      <c r="L14" s="141"/>
      <c r="M14" s="141"/>
      <c r="N14" s="141"/>
    </row>
    <row r="15" spans="1:14" ht="9.75" customHeight="1">
      <c r="A15" s="79"/>
      <c r="B15" s="79"/>
      <c r="C15" s="79"/>
      <c r="D15" s="79"/>
      <c r="F15" s="79"/>
      <c r="H15" s="140"/>
      <c r="I15" s="144"/>
      <c r="J15" s="143"/>
      <c r="K15" s="140"/>
      <c r="L15" s="141"/>
      <c r="M15" s="141"/>
      <c r="N15" s="141"/>
    </row>
    <row r="16" spans="1:14" ht="8.1" customHeight="1">
      <c r="A16" s="79"/>
      <c r="B16" s="79"/>
      <c r="C16" s="79"/>
      <c r="D16" s="79"/>
      <c r="F16" s="79"/>
      <c r="G16" s="79"/>
      <c r="H16" s="140"/>
      <c r="I16" s="141"/>
      <c r="J16" s="143"/>
      <c r="K16" s="145"/>
      <c r="L16" s="146"/>
      <c r="M16" s="141"/>
      <c r="N16" s="141"/>
    </row>
    <row r="17" spans="1:14" ht="9.75" customHeight="1">
      <c r="A17" s="79"/>
      <c r="B17" s="79"/>
      <c r="C17" s="79"/>
      <c r="D17" s="79"/>
      <c r="E17" s="147" t="s">
        <v>108</v>
      </c>
      <c r="F17" s="79"/>
      <c r="G17" s="79"/>
      <c r="H17" s="140"/>
      <c r="I17" s="140"/>
      <c r="J17" s="143"/>
      <c r="K17" s="140"/>
      <c r="L17" s="141"/>
      <c r="M17" s="141"/>
      <c r="N17" s="141"/>
    </row>
    <row r="18" spans="1:14" ht="9.75" customHeight="1">
      <c r="A18" s="79"/>
      <c r="B18" s="79"/>
      <c r="C18" s="79"/>
      <c r="D18" s="79"/>
      <c r="E18" s="79"/>
      <c r="F18" s="79"/>
      <c r="G18" s="79"/>
      <c r="H18" s="140"/>
      <c r="I18" s="140"/>
      <c r="J18" s="140"/>
      <c r="K18" s="140"/>
      <c r="L18" s="141"/>
      <c r="M18" s="141"/>
      <c r="N18" s="141"/>
    </row>
    <row r="19" spans="1:14" ht="12.75" customHeight="1">
      <c r="A19" s="79"/>
      <c r="B19" s="79"/>
      <c r="C19" s="79"/>
      <c r="D19" s="79"/>
      <c r="E19" s="79"/>
      <c r="F19" s="79"/>
      <c r="G19" s="79"/>
      <c r="H19" s="140"/>
      <c r="I19" s="140"/>
      <c r="J19" s="140"/>
      <c r="K19" s="140"/>
      <c r="L19" s="141"/>
      <c r="M19" s="141"/>
      <c r="N19" s="141"/>
    </row>
    <row r="20" spans="1:14" ht="12.75" customHeight="1">
      <c r="A20" s="147" t="str">
        <f>+'CUSTOM  INVOICE'!C11</f>
        <v>EPIC GARMENTS MANUFACTURING CO.LTD.,(UNIT-2)</v>
      </c>
      <c r="B20" s="147"/>
      <c r="C20" s="147"/>
      <c r="D20" s="147"/>
      <c r="E20" s="147"/>
      <c r="F20" s="79"/>
      <c r="G20" s="79"/>
      <c r="H20" s="79"/>
      <c r="I20" s="79"/>
      <c r="J20" s="79"/>
    </row>
    <row r="21" spans="1:14" ht="11.25" customHeight="1">
      <c r="F21" s="79"/>
      <c r="G21" s="79"/>
      <c r="H21" s="79"/>
      <c r="I21" s="79"/>
      <c r="J21" s="79"/>
    </row>
    <row r="22" spans="1:14" ht="9.9499999999999993" customHeight="1">
      <c r="F22" s="79"/>
      <c r="G22" s="79"/>
      <c r="H22" s="79"/>
      <c r="I22" s="79"/>
      <c r="J22" s="79"/>
    </row>
    <row r="23" spans="1:14" ht="11.25" customHeight="1">
      <c r="A23" s="147" t="str">
        <f>+'CUSTOM  INVOICE'!C12</f>
        <v>SFB NO.08 (GROUND, 1ST,2ND,3RD &amp; 4TH FLOOR)</v>
      </c>
      <c r="B23" s="147"/>
      <c r="C23" s="147"/>
      <c r="D23" s="147"/>
      <c r="E23" s="147"/>
      <c r="G23" s="79"/>
      <c r="H23" s="79"/>
      <c r="I23" s="79"/>
      <c r="J23" s="79"/>
    </row>
    <row r="24" spans="1:14" ht="11.25" customHeight="1">
      <c r="A24" s="147" t="str">
        <f>+'CUSTOM  INVOICE'!C13</f>
        <v>DEPZ EXTENSION AREA, GONOK BARI, SAVAR,</v>
      </c>
      <c r="B24" s="147"/>
      <c r="C24" s="147"/>
      <c r="D24" s="147"/>
      <c r="E24" s="147"/>
      <c r="G24" s="79"/>
      <c r="H24" s="79"/>
      <c r="I24" s="79"/>
      <c r="J24" s="79"/>
    </row>
    <row r="25" spans="1:14" ht="11.25" customHeight="1">
      <c r="A25" s="147" t="str">
        <f>+'CUSTOM  INVOICE'!C14</f>
        <v>DHAKA-1349, BANGLADESH.</v>
      </c>
      <c r="B25" s="147"/>
      <c r="C25" s="147"/>
      <c r="D25" s="147"/>
      <c r="E25" s="147" t="str">
        <f>+'CUSTOM  INVOICE'!C15</f>
        <v>(BIN:000320579-0403)</v>
      </c>
      <c r="G25" s="79"/>
      <c r="H25" s="79"/>
      <c r="I25" s="79"/>
      <c r="J25" s="79"/>
    </row>
    <row r="26" spans="1:14" ht="9.75" customHeight="1">
      <c r="A26" s="156" t="s">
        <v>109</v>
      </c>
      <c r="B26" s="141"/>
      <c r="C26" s="141"/>
      <c r="D26" s="141"/>
      <c r="E26" s="141"/>
      <c r="G26" s="79"/>
      <c r="H26" s="79"/>
      <c r="I26" s="79"/>
      <c r="J26" s="79"/>
    </row>
    <row r="27" spans="1:14" ht="10.5" customHeight="1">
      <c r="A27" s="79" t="s">
        <v>110</v>
      </c>
      <c r="B27" s="79"/>
      <c r="C27" s="79"/>
      <c r="D27" s="79"/>
      <c r="E27" s="79"/>
      <c r="G27" s="79"/>
      <c r="H27" s="79"/>
      <c r="I27" s="79"/>
      <c r="J27" s="79"/>
    </row>
    <row r="28" spans="1:14" ht="10.5" customHeight="1">
      <c r="B28" s="79"/>
      <c r="C28" s="79"/>
      <c r="D28" s="79"/>
      <c r="E28" s="79"/>
      <c r="F28" s="79"/>
      <c r="G28" s="79"/>
      <c r="H28" s="79"/>
      <c r="J28" s="79"/>
    </row>
    <row r="29" spans="1:14" ht="11.25" customHeight="1">
      <c r="A29" s="79"/>
      <c r="B29" s="79"/>
      <c r="C29" s="79"/>
      <c r="D29" s="79"/>
      <c r="E29" s="79"/>
      <c r="F29" s="79"/>
      <c r="G29" s="79"/>
      <c r="H29" s="79"/>
      <c r="J29" s="79"/>
    </row>
    <row r="30" spans="1:14" ht="21.75" customHeight="1">
      <c r="A30" s="79"/>
      <c r="B30" s="79"/>
      <c r="C30" s="79"/>
      <c r="D30" s="79"/>
      <c r="E30" s="79"/>
      <c r="F30" s="79"/>
      <c r="G30" s="79"/>
      <c r="H30" s="79"/>
      <c r="J30" s="79"/>
    </row>
    <row r="31" spans="1:14" ht="17.25" customHeight="1">
      <c r="A31" s="79"/>
      <c r="B31" s="79"/>
      <c r="C31" s="79"/>
      <c r="D31" s="79"/>
      <c r="E31" s="79"/>
      <c r="F31" s="79"/>
      <c r="G31" s="79"/>
      <c r="H31" s="79"/>
      <c r="J31" s="79"/>
      <c r="N31" s="148">
        <f ca="1">+'CUSTOM  INVOICE'!D9</f>
        <v>46301</v>
      </c>
    </row>
    <row r="32" spans="1:14" ht="17.25" customHeight="1">
      <c r="A32" s="79"/>
      <c r="B32" s="79"/>
      <c r="C32" s="79"/>
      <c r="D32" s="79"/>
      <c r="E32" s="79"/>
      <c r="G32" s="79"/>
      <c r="H32" s="79"/>
      <c r="I32" s="79"/>
      <c r="J32" s="79"/>
    </row>
    <row r="33" spans="1:10">
      <c r="A33" s="79"/>
      <c r="B33" s="79"/>
      <c r="C33" s="79"/>
      <c r="D33" s="79"/>
      <c r="E33" s="79"/>
      <c r="F33" s="149"/>
      <c r="G33" s="79"/>
      <c r="H33" s="79"/>
      <c r="J33" s="79"/>
    </row>
  </sheetData>
  <pageMargins left="0.2" right="0.1" top="0.75" bottom="0" header="1.34" footer="1.3"/>
  <pageSetup paperSize="9" orientation="portrait" blackAndWhite="1" horizontalDpi="180" verticalDpi="18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topLeftCell="A6" zoomScale="175" zoomScaleNormal="175" workbookViewId="0">
      <selection activeCell="H12" sqref="H12"/>
    </sheetView>
  </sheetViews>
  <sheetFormatPr defaultRowHeight="12.75"/>
  <cols>
    <col min="1" max="1" width="3.5703125" customWidth="1"/>
    <col min="2" max="2" width="5" customWidth="1"/>
    <col min="3" max="3" width="2.85546875" customWidth="1"/>
    <col min="5" max="5" width="10.42578125" bestFit="1" customWidth="1"/>
    <col min="6" max="6" width="3.5703125" customWidth="1"/>
    <col min="7" max="7" width="5.5703125" customWidth="1"/>
    <col min="8" max="8" width="3.140625" customWidth="1"/>
    <col min="9" max="9" width="6.42578125" customWidth="1"/>
    <col min="10" max="10" width="3.42578125" customWidth="1"/>
    <col min="11" max="11" width="4.5703125" customWidth="1"/>
    <col min="12" max="12" width="4" customWidth="1"/>
    <col min="13" max="13" width="9.140625" customWidth="1"/>
  </cols>
  <sheetData>
    <row r="1" spans="1:14">
      <c r="A1" s="135"/>
      <c r="B1" s="135"/>
      <c r="C1" s="135"/>
      <c r="D1" s="135" t="s">
        <v>111</v>
      </c>
      <c r="E1" s="79"/>
      <c r="F1" s="79"/>
      <c r="G1" s="79"/>
      <c r="H1" s="79"/>
      <c r="I1" s="79"/>
      <c r="J1" s="79"/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4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4" ht="11.25" customHeight="1">
      <c r="A5" s="79"/>
      <c r="B5" s="79"/>
      <c r="C5" s="79"/>
      <c r="D5" s="79"/>
      <c r="E5" s="79"/>
      <c r="F5" s="79"/>
      <c r="G5" s="79"/>
      <c r="H5" s="79"/>
      <c r="I5" s="79"/>
      <c r="J5" s="79"/>
    </row>
    <row r="6" spans="1:14" ht="13.5" customHeight="1">
      <c r="A6" s="135" t="s">
        <v>111</v>
      </c>
      <c r="D6" s="79"/>
      <c r="E6" s="136" t="s">
        <v>112</v>
      </c>
      <c r="F6" s="79"/>
      <c r="G6" s="79"/>
      <c r="H6" s="79"/>
      <c r="I6" s="79"/>
      <c r="J6" s="79"/>
    </row>
    <row r="7" spans="1:14" ht="24" customHeight="1">
      <c r="A7" s="137"/>
      <c r="B7" s="138" t="str">
        <f>+'CUSTOM  INVOICE'!D23</f>
        <v>S/ 5157 /26</v>
      </c>
      <c r="C7" s="138"/>
      <c r="D7" s="6"/>
      <c r="E7" s="79"/>
      <c r="F7" s="79"/>
      <c r="G7" s="79"/>
      <c r="H7" s="79"/>
      <c r="I7" s="79"/>
      <c r="J7" s="79"/>
    </row>
    <row r="8" spans="1:14">
      <c r="F8" s="79"/>
      <c r="G8" s="79"/>
      <c r="I8" s="139">
        <f>+'CUSTOM  INVOICE'!B25</f>
        <v>1</v>
      </c>
      <c r="J8" s="79"/>
    </row>
    <row r="9" spans="1:14">
      <c r="B9" s="79" t="str">
        <f>+'CUSTOM  INVOICE'!E1</f>
        <v>ALPHA START LIMITED</v>
      </c>
      <c r="C9" s="79"/>
      <c r="D9" s="79"/>
      <c r="E9" s="79"/>
      <c r="F9" s="79"/>
      <c r="G9" s="79"/>
      <c r="H9" s="140"/>
      <c r="I9" s="140"/>
      <c r="J9" s="140"/>
      <c r="K9" s="141"/>
      <c r="L9" s="141"/>
      <c r="M9" s="141"/>
      <c r="N9" s="141"/>
    </row>
    <row r="10" spans="1:14" ht="11.25" customHeight="1">
      <c r="B10" s="79"/>
      <c r="C10" s="79"/>
      <c r="D10" s="79"/>
      <c r="E10" s="79"/>
      <c r="F10" s="79"/>
      <c r="G10" s="79"/>
      <c r="H10" s="140"/>
      <c r="I10" s="140"/>
      <c r="J10" s="140"/>
      <c r="K10" s="141"/>
      <c r="L10" s="141"/>
      <c r="M10" s="141"/>
      <c r="N10" s="141"/>
    </row>
    <row r="11" spans="1:14" ht="11.25" customHeight="1">
      <c r="B11" s="79" t="str">
        <f>+'CUSTOM  INVOICE'!E2</f>
        <v>7/F, EGL TOWER</v>
      </c>
      <c r="C11" s="79"/>
      <c r="D11" s="79"/>
      <c r="E11" s="79"/>
      <c r="F11" s="79"/>
      <c r="G11" s="79"/>
      <c r="H11" s="140"/>
      <c r="I11" s="140"/>
      <c r="J11" s="140"/>
      <c r="K11" s="141"/>
      <c r="L11" s="141"/>
      <c r="M11" s="141"/>
      <c r="N11" s="141"/>
    </row>
    <row r="12" spans="1:14" ht="11.25" customHeight="1">
      <c r="B12" s="79" t="str">
        <f>+'CUSTOM  INVOICE'!E3</f>
        <v>83 HUNG TO ROAD, KWUN TONG</v>
      </c>
      <c r="C12" s="79"/>
      <c r="D12" s="79"/>
      <c r="E12" s="79"/>
      <c r="F12" s="79"/>
      <c r="G12" s="79"/>
      <c r="I12" s="79"/>
      <c r="J12" s="79"/>
    </row>
    <row r="13" spans="1:14" ht="13.5" customHeight="1">
      <c r="B13" s="79" t="str">
        <f>+'CUSTOM  INVOICE'!E4</f>
        <v>KOWLOON, HONG KONG.</v>
      </c>
      <c r="C13" s="79"/>
      <c r="D13" s="79"/>
      <c r="E13" s="79"/>
      <c r="F13" s="79"/>
      <c r="G13" s="79"/>
    </row>
    <row r="14" spans="1:14" ht="9.75" customHeight="1">
      <c r="A14" s="79"/>
      <c r="B14" s="79"/>
      <c r="C14" s="79"/>
      <c r="D14" s="79"/>
      <c r="E14" s="79"/>
      <c r="F14" s="79"/>
      <c r="G14" s="79"/>
      <c r="H14" s="142" t="s">
        <v>6</v>
      </c>
      <c r="I14" s="140"/>
      <c r="J14" s="143"/>
      <c r="K14" s="140"/>
      <c r="L14" s="141"/>
      <c r="M14" s="141"/>
      <c r="N14" s="141"/>
    </row>
    <row r="15" spans="1:14" ht="9.75" customHeight="1">
      <c r="A15" s="79"/>
      <c r="B15" s="79"/>
      <c r="C15" s="79"/>
      <c r="D15" s="79"/>
      <c r="F15" s="79"/>
      <c r="H15" s="143" t="str">
        <f>+'CUSTOM  INVOICE'!A42</f>
        <v>SAMPLE OF NO COMMERCIAL VALUE</v>
      </c>
      <c r="I15" s="144"/>
      <c r="J15" s="143"/>
      <c r="K15" s="140"/>
      <c r="L15" s="141"/>
      <c r="M15" s="141"/>
      <c r="N15" s="141"/>
    </row>
    <row r="16" spans="1:14" ht="9.75" customHeight="1">
      <c r="A16" s="79"/>
      <c r="B16" s="79"/>
      <c r="C16" s="79"/>
      <c r="D16" s="79"/>
      <c r="F16" s="79"/>
      <c r="G16" s="79"/>
      <c r="H16" s="140"/>
      <c r="I16" s="141"/>
      <c r="J16" s="143"/>
      <c r="K16" s="145"/>
      <c r="L16" s="146"/>
      <c r="M16" s="141"/>
      <c r="N16" s="141"/>
    </row>
    <row r="17" spans="1:14" ht="9.75" customHeight="1">
      <c r="A17" s="79"/>
      <c r="B17" s="79"/>
      <c r="C17" s="79"/>
      <c r="D17" s="79"/>
      <c r="E17" s="147" t="s">
        <v>108</v>
      </c>
      <c r="F17" s="79"/>
      <c r="G17" s="79"/>
      <c r="H17" s="140"/>
      <c r="I17" s="140"/>
      <c r="J17" s="143"/>
      <c r="K17" s="140"/>
      <c r="L17" s="141"/>
      <c r="M17" s="141"/>
      <c r="N17" s="141"/>
    </row>
    <row r="18" spans="1:14" ht="9.75" customHeight="1">
      <c r="A18" s="79"/>
      <c r="B18" s="79"/>
      <c r="C18" s="79"/>
      <c r="D18" s="79"/>
      <c r="E18" s="79"/>
      <c r="F18" s="79"/>
      <c r="G18" s="79"/>
      <c r="H18" s="140"/>
      <c r="I18" s="140"/>
      <c r="J18" s="140"/>
      <c r="K18" s="140"/>
      <c r="L18" s="141"/>
      <c r="M18" s="141"/>
      <c r="N18" s="141"/>
    </row>
    <row r="19" spans="1:14" ht="10.5" customHeight="1">
      <c r="A19" s="79"/>
      <c r="B19" s="79"/>
      <c r="C19" s="79"/>
      <c r="D19" s="79"/>
      <c r="E19" s="79"/>
      <c r="F19" s="79"/>
      <c r="G19" s="79"/>
      <c r="H19" s="140"/>
      <c r="I19" s="140"/>
      <c r="J19" s="140"/>
      <c r="K19" s="140"/>
      <c r="L19" s="141"/>
      <c r="M19" s="141"/>
      <c r="N19" s="141"/>
    </row>
    <row r="20" spans="1:14" ht="12.75" customHeight="1">
      <c r="A20" s="147" t="str">
        <f>+'CUSTOM  INVOICE'!C11</f>
        <v>EPIC GARMENTS MANUFACTURING CO.LTD.,(UNIT-2)</v>
      </c>
      <c r="B20" s="147"/>
      <c r="C20" s="147"/>
      <c r="D20" s="147"/>
      <c r="E20" s="147"/>
      <c r="F20" s="79"/>
      <c r="G20" s="79"/>
      <c r="H20" s="79"/>
      <c r="I20" s="79"/>
      <c r="J20" s="79"/>
    </row>
    <row r="21" spans="1:14" ht="11.25" customHeight="1">
      <c r="F21" s="79"/>
      <c r="G21" s="79"/>
      <c r="H21" s="79"/>
      <c r="I21" s="79"/>
      <c r="J21" s="79"/>
    </row>
    <row r="22" spans="1:14" ht="11.25" customHeight="1">
      <c r="F22" s="79"/>
      <c r="G22" s="79"/>
      <c r="H22" s="79"/>
      <c r="I22" s="79"/>
      <c r="J22" s="79"/>
    </row>
    <row r="23" spans="1:14" ht="11.25" customHeight="1">
      <c r="A23" s="147" t="str">
        <f>+'CUSTOM  INVOICE'!C12</f>
        <v>SFB NO.08 (GROUND, 1ST,2ND,3RD &amp; 4TH FLOOR)</v>
      </c>
      <c r="B23" s="147"/>
      <c r="C23" s="147"/>
      <c r="D23" s="147"/>
      <c r="E23" s="147"/>
      <c r="G23" s="79"/>
      <c r="H23" s="79"/>
      <c r="I23" s="79"/>
      <c r="J23" s="79"/>
    </row>
    <row r="24" spans="1:14" ht="11.25" customHeight="1">
      <c r="A24" s="147" t="str">
        <f>+'CUSTOM  INVOICE'!C13</f>
        <v>DEPZ EXTENSION AREA, GONOK BARI, SAVAR,</v>
      </c>
      <c r="B24" s="147"/>
      <c r="C24" s="147"/>
      <c r="D24" s="147"/>
      <c r="E24" s="147"/>
      <c r="G24" s="79"/>
      <c r="H24" s="79"/>
      <c r="I24" s="79"/>
      <c r="J24" s="79"/>
    </row>
    <row r="25" spans="1:14" ht="11.25" customHeight="1">
      <c r="A25" s="147" t="str">
        <f>+'CUSTOM  INVOICE'!C14</f>
        <v>DHAKA-1349, BANGLADESH.</v>
      </c>
      <c r="B25" s="147"/>
      <c r="C25" s="147"/>
      <c r="D25" s="147"/>
      <c r="E25" s="147"/>
      <c r="G25" s="79"/>
      <c r="H25" s="79"/>
      <c r="I25" s="79"/>
      <c r="J25" s="79"/>
    </row>
    <row r="26" spans="1:14" ht="9.75" customHeight="1">
      <c r="A26" s="147" t="str">
        <f>+'CUSTOM  INVOICE'!C15</f>
        <v>(BIN:000320579-0403)</v>
      </c>
      <c r="B26" s="141"/>
      <c r="C26" s="141"/>
      <c r="D26" s="141"/>
      <c r="E26" s="141"/>
      <c r="G26" s="79"/>
      <c r="H26" s="79"/>
      <c r="I26" s="79"/>
      <c r="J26" s="79"/>
    </row>
    <row r="27" spans="1:14" ht="10.5" customHeight="1">
      <c r="A27" s="147" t="s">
        <v>113</v>
      </c>
      <c r="B27" s="79"/>
      <c r="C27" s="79"/>
      <c r="D27" s="79"/>
      <c r="E27" s="79"/>
      <c r="G27" s="79"/>
      <c r="H27" s="79"/>
      <c r="I27" s="79"/>
      <c r="J27" s="79"/>
    </row>
    <row r="28" spans="1:14" ht="10.5" customHeight="1">
      <c r="A28" s="79"/>
      <c r="B28" s="79"/>
      <c r="C28" s="79"/>
      <c r="D28" s="79"/>
      <c r="E28" s="79"/>
      <c r="F28" s="79"/>
      <c r="G28" s="79"/>
      <c r="H28" s="79"/>
      <c r="J28" s="79"/>
    </row>
    <row r="29" spans="1:14" ht="11.25" customHeight="1">
      <c r="A29" s="79"/>
      <c r="B29" s="79"/>
      <c r="C29" s="79"/>
      <c r="D29" s="79"/>
      <c r="E29" s="79"/>
      <c r="F29" s="79"/>
      <c r="G29" s="79"/>
      <c r="H29" s="79"/>
      <c r="J29" s="79"/>
    </row>
    <row r="30" spans="1:14" ht="10.5" customHeight="1">
      <c r="A30" s="79"/>
      <c r="B30" s="79"/>
      <c r="C30" s="79"/>
      <c r="D30" s="79"/>
      <c r="E30" s="79"/>
      <c r="F30" s="79"/>
      <c r="G30" s="79"/>
      <c r="H30" s="79"/>
      <c r="J30" s="79"/>
    </row>
    <row r="31" spans="1:14" ht="10.35" customHeight="1">
      <c r="A31" s="79"/>
      <c r="B31" s="79"/>
      <c r="C31" s="79"/>
      <c r="D31" s="79"/>
      <c r="E31" s="79"/>
      <c r="F31" s="79"/>
      <c r="G31" s="79"/>
      <c r="H31" s="79"/>
      <c r="J31" s="79"/>
    </row>
    <row r="32" spans="1:14">
      <c r="A32" s="79"/>
      <c r="B32" s="79"/>
      <c r="C32" s="79"/>
      <c r="D32" s="79"/>
      <c r="E32" s="79"/>
      <c r="F32" s="79"/>
      <c r="G32" s="79"/>
      <c r="H32" s="79"/>
      <c r="J32" s="79"/>
      <c r="N32" s="148">
        <f ca="1">+'CUSTOM  INVOICE'!D9</f>
        <v>46301</v>
      </c>
    </row>
    <row r="33" spans="1:10" ht="17.25" customHeight="1">
      <c r="A33" s="79"/>
      <c r="B33" s="79"/>
      <c r="C33" s="79"/>
      <c r="D33" s="79"/>
      <c r="E33" s="79"/>
      <c r="G33" s="79"/>
      <c r="H33" s="79"/>
      <c r="I33" s="79"/>
      <c r="J33" s="79"/>
    </row>
    <row r="34" spans="1:10">
      <c r="A34" s="79"/>
      <c r="B34" s="79"/>
      <c r="C34" s="79"/>
      <c r="D34" s="79"/>
      <c r="E34" s="79"/>
      <c r="F34" s="149"/>
      <c r="G34" s="79"/>
      <c r="H34" s="79"/>
      <c r="J34" s="79"/>
    </row>
  </sheetData>
  <pageMargins left="0.2" right="0.1" top="0.75" bottom="0" header="1.34" footer="1.3"/>
  <pageSetup paperSize="9" orientation="portrait" blackAndWhite="1" horizontalDpi="180" verticalDpi="18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I28"/>
  <sheetViews>
    <sheetView topLeftCell="A3" zoomScale="160" zoomScaleNormal="160" workbookViewId="0">
      <selection activeCell="H26" sqref="H26"/>
    </sheetView>
  </sheetViews>
  <sheetFormatPr defaultColWidth="9.140625" defaultRowHeight="12.75"/>
  <cols>
    <col min="1" max="1" width="2.5703125" style="91" customWidth="1"/>
    <col min="2" max="2" width="10.140625" style="91" customWidth="1"/>
    <col min="3" max="3" width="7.140625" style="91" customWidth="1"/>
    <col min="4" max="4" width="8.140625" style="91" customWidth="1"/>
    <col min="5" max="5" width="11.140625" style="91" customWidth="1"/>
    <col min="6" max="6" width="10.5703125" style="91" customWidth="1"/>
    <col min="7" max="7" width="9.140625" style="91"/>
    <col min="8" max="8" width="14.42578125" style="91" customWidth="1"/>
    <col min="9" max="9" width="26.5703125" style="91" customWidth="1"/>
    <col min="10" max="10" width="21.5703125" style="91" customWidth="1"/>
    <col min="11" max="16384" width="9.140625" style="91"/>
  </cols>
  <sheetData>
    <row r="3" spans="2:9" ht="10.5" customHeight="1"/>
    <row r="4" spans="2:9">
      <c r="G4" s="154">
        <f>+'CUSTOM  INVOICE'!B25</f>
        <v>1</v>
      </c>
      <c r="H4" s="91" t="s">
        <v>97</v>
      </c>
    </row>
    <row r="5" spans="2:9" ht="8.4499999999999993" customHeight="1"/>
    <row r="6" spans="2:9">
      <c r="B6" s="91" t="s">
        <v>0</v>
      </c>
      <c r="G6" s="91" t="str">
        <f>+'CUSTOM  INVOICE'!C11</f>
        <v>EPIC GARMENTS MANUFACTURING CO.LTD.,(UNIT-2)</v>
      </c>
      <c r="H6" s="92"/>
      <c r="I6" s="92"/>
    </row>
    <row r="7" spans="2:9" ht="9.6" customHeight="1">
      <c r="H7" s="93"/>
      <c r="I7" s="92"/>
    </row>
    <row r="8" spans="2:9" ht="15" customHeight="1">
      <c r="B8" s="94" t="s">
        <v>107</v>
      </c>
      <c r="C8" s="94"/>
      <c r="G8" s="153" t="s">
        <v>114</v>
      </c>
      <c r="H8" s="92"/>
      <c r="I8" s="92"/>
    </row>
    <row r="9" spans="2:9" ht="16.7" customHeight="1">
      <c r="B9" s="91" t="str">
        <f>+'CUSTOM  INVOICE'!E2</f>
        <v>7/F, EGL TOWER</v>
      </c>
      <c r="G9" s="91" t="str">
        <f>+'CUSTOM  INVOICE'!C12</f>
        <v>SFB NO.08 (GROUND, 1ST,2ND,3RD &amp; 4TH FLOOR)</v>
      </c>
    </row>
    <row r="10" spans="2:9" ht="14.25" customHeight="1">
      <c r="B10" s="91" t="str">
        <f>+'CUSTOM  INVOICE'!E3</f>
        <v>83 HUNG TO ROAD, KWUN TONG</v>
      </c>
      <c r="G10" s="91" t="str">
        <f>+'CUSTOM  INVOICE'!C13</f>
        <v>DEPZ EXTENSION AREA, GONOK BARI, SAVAR,</v>
      </c>
      <c r="H10" s="86"/>
    </row>
    <row r="11" spans="2:9" ht="12.75" customHeight="1">
      <c r="B11" s="91" t="str">
        <f>+'CUSTOM  INVOICE'!E4</f>
        <v>KOWLOON, HONG KONG.</v>
      </c>
      <c r="G11" s="91" t="str">
        <f>+'CUSTOM  INVOICE'!C14</f>
        <v>DHAKA-1349, BANGLADESH.</v>
      </c>
      <c r="H11" s="87"/>
    </row>
    <row r="12" spans="2:9" ht="14.25" customHeight="1">
      <c r="G12" s="91" t="str">
        <f>+'CUSTOM  INVOICE'!C15</f>
        <v>(BIN:000320579-0403)</v>
      </c>
      <c r="H12" s="87"/>
    </row>
    <row r="13" spans="2:9" ht="18" customHeight="1">
      <c r="F13" s="91" t="s">
        <v>2</v>
      </c>
      <c r="H13" s="87"/>
      <c r="I13" s="94"/>
    </row>
    <row r="14" spans="2:9" ht="12" customHeight="1">
      <c r="B14" s="91" t="s">
        <v>4</v>
      </c>
      <c r="H14" s="87"/>
      <c r="I14" s="94"/>
    </row>
    <row r="15" spans="2:9">
      <c r="G15" s="88"/>
      <c r="H15" s="89"/>
    </row>
    <row r="16" spans="2:9" ht="14.45" customHeight="1"/>
    <row r="17" spans="2:6">
      <c r="B17" s="95" t="s">
        <v>115</v>
      </c>
    </row>
    <row r="18" spans="2:6">
      <c r="B18" s="96" t="str">
        <f>+'CUSTOM  INVOICE'!A42</f>
        <v>SAMPLE OF NO COMMERCIAL VALUE</v>
      </c>
    </row>
    <row r="19" spans="2:6" ht="15.75">
      <c r="B19" s="91" t="s">
        <v>7</v>
      </c>
      <c r="D19" s="97" t="str">
        <f>+'CUSTOM  INVOICE'!D23</f>
        <v>S/ 5157 /26</v>
      </c>
      <c r="F19" s="98"/>
    </row>
    <row r="21" spans="2:6">
      <c r="B21" s="99" t="s">
        <v>2</v>
      </c>
    </row>
    <row r="22" spans="2:6">
      <c r="B22" s="99" t="s">
        <v>2</v>
      </c>
    </row>
    <row r="28" spans="2:6">
      <c r="B28" s="155">
        <f ca="1">+'CUSTOM  INVOICE'!D9</f>
        <v>46301</v>
      </c>
    </row>
  </sheetData>
  <pageMargins left="0.8" right="0.15" top="0.66" bottom="1" header="0.22" footer="0.5"/>
  <pageSetup scale="92" orientation="portrait" blackAndWhite="1" horizontalDpi="300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B9" sqref="B9"/>
    </sheetView>
  </sheetViews>
  <sheetFormatPr defaultRowHeight="12.75"/>
  <cols>
    <col min="1" max="1" width="3.5703125" customWidth="1"/>
    <col min="2" max="2" width="10.5703125" customWidth="1"/>
    <col min="3" max="3" width="11.140625" customWidth="1"/>
    <col min="4" max="4" width="8.140625" customWidth="1"/>
    <col min="5" max="5" width="11.140625" customWidth="1"/>
    <col min="6" max="6" width="7.5703125" customWidth="1"/>
    <col min="8" max="8" width="14.42578125" customWidth="1"/>
    <col min="9" max="9" width="22.140625" customWidth="1"/>
    <col min="10" max="10" width="21.5703125" customWidth="1"/>
  </cols>
  <sheetData>
    <row r="1" spans="1:10" ht="8.4499999999999993" customHeight="1"/>
    <row r="2" spans="1:10">
      <c r="A2" s="3"/>
      <c r="B2" s="3" t="s">
        <v>0</v>
      </c>
      <c r="C2" s="3"/>
      <c r="D2" s="3"/>
      <c r="E2" s="3"/>
      <c r="F2" s="3"/>
    </row>
    <row r="3" spans="1:10">
      <c r="A3" s="3"/>
      <c r="B3" s="3" t="str">
        <f>+'CUSTOM  INVOICE'!E2</f>
        <v>7/F, EGL TOWER</v>
      </c>
      <c r="C3" s="3"/>
      <c r="D3" s="3"/>
      <c r="E3" s="3"/>
      <c r="G3" s="6" t="str">
        <f>+'CUSTOM  INVOICE'!C11</f>
        <v>EPIC GARMENTS MANUFACTURING CO.LTD.,(UNIT-2)</v>
      </c>
      <c r="H3" s="84"/>
      <c r="I3" s="84"/>
      <c r="J3" s="3"/>
    </row>
    <row r="4" spans="1:10">
      <c r="A4" s="3"/>
      <c r="B4" s="3" t="str">
        <f>+'CUSTOM  INVOICE'!E3</f>
        <v>83 HUNG TO ROAD, KWUN TONG</v>
      </c>
      <c r="C4" s="3"/>
      <c r="D4" s="3"/>
      <c r="E4" s="3"/>
      <c r="G4" s="6" t="str">
        <f>+'CUSTOM  INVOICE'!C12</f>
        <v>SFB NO.08 (GROUND, 1ST,2ND,3RD &amp; 4TH FLOOR)</v>
      </c>
      <c r="H4" s="84"/>
      <c r="I4" s="84"/>
      <c r="J4" s="3"/>
    </row>
    <row r="5" spans="1:10">
      <c r="A5" s="3"/>
      <c r="B5" s="3" t="str">
        <f>+'CUSTOM  INVOICE'!E4</f>
        <v>KOWLOON, HONG KONG.</v>
      </c>
      <c r="C5" s="3"/>
      <c r="D5" s="3"/>
      <c r="E5" s="3"/>
      <c r="G5" s="6" t="str">
        <f>+'CUSTOM  INVOICE'!C13</f>
        <v>DEPZ EXTENSION AREA, GONOK BARI, SAVAR,</v>
      </c>
      <c r="H5" s="84"/>
      <c r="I5" s="84"/>
      <c r="J5" s="3"/>
    </row>
    <row r="6" spans="1:10">
      <c r="A6" s="3"/>
      <c r="B6" s="3"/>
      <c r="C6" s="3"/>
      <c r="D6" s="3"/>
      <c r="E6" s="3"/>
      <c r="F6" s="3"/>
      <c r="G6" s="6" t="str">
        <f>+'CUSTOM  INVOICE'!C14</f>
        <v>DHAKA-1349, BANGLADESH.</v>
      </c>
      <c r="J6" s="3"/>
    </row>
    <row r="7" spans="1:10" ht="14.25" customHeight="1">
      <c r="A7" s="3"/>
      <c r="B7" s="3"/>
      <c r="C7" s="3"/>
      <c r="D7" s="3"/>
      <c r="E7" s="3"/>
      <c r="F7" s="3"/>
      <c r="G7" s="6" t="str">
        <f>+'CUSTOM  INVOICE'!C15</f>
        <v>(BIN:000320579-0403)</v>
      </c>
      <c r="H7" s="86"/>
      <c r="I7" s="3"/>
      <c r="J7" s="3"/>
    </row>
    <row r="8" spans="1:10" ht="15.75" customHeight="1">
      <c r="A8" s="3"/>
      <c r="B8" t="s">
        <v>112</v>
      </c>
      <c r="C8" s="3"/>
      <c r="E8" s="3" t="s">
        <v>4</v>
      </c>
      <c r="F8" s="3"/>
      <c r="G8" s="85" t="s">
        <v>113</v>
      </c>
      <c r="H8" s="87"/>
      <c r="I8" s="3"/>
      <c r="J8" s="3"/>
    </row>
    <row r="9" spans="1:10" ht="14.25" customHeight="1">
      <c r="A9" s="3"/>
      <c r="F9" s="3"/>
      <c r="G9" s="87"/>
      <c r="H9" s="87"/>
      <c r="I9" s="3"/>
      <c r="J9" s="3"/>
    </row>
    <row r="10" spans="1:10">
      <c r="A10" s="3"/>
      <c r="B10" s="3"/>
      <c r="C10" s="3"/>
      <c r="D10" s="3"/>
      <c r="E10" s="3"/>
      <c r="F10" s="3"/>
      <c r="G10" s="87"/>
      <c r="H10" s="87"/>
      <c r="I10" s="3"/>
      <c r="J10" s="3"/>
    </row>
    <row r="11" spans="1:10">
      <c r="A11" s="3"/>
      <c r="B11" s="3"/>
      <c r="C11" s="3"/>
      <c r="D11" s="3"/>
      <c r="E11" s="3"/>
      <c r="F11" s="3"/>
      <c r="G11" s="87"/>
      <c r="H11" s="86"/>
      <c r="I11" s="3"/>
      <c r="J11" s="3"/>
    </row>
    <row r="12" spans="1:10">
      <c r="A12" s="3"/>
      <c r="B12" s="3"/>
      <c r="C12" s="3"/>
      <c r="D12" s="3"/>
      <c r="E12" s="3"/>
      <c r="F12" s="3"/>
      <c r="G12" s="88"/>
      <c r="H12" s="89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</row>
    <row r="16" spans="1:10">
      <c r="A16" s="3"/>
      <c r="B16" s="3"/>
      <c r="C16" s="3"/>
      <c r="D16" s="85">
        <f>+'CUSTOM  INVOICE'!B25</f>
        <v>1</v>
      </c>
      <c r="E16" s="78" t="s">
        <v>5</v>
      </c>
      <c r="F16" s="62" t="s">
        <v>116</v>
      </c>
      <c r="G16" s="3"/>
      <c r="H16" s="3"/>
      <c r="I16" s="3"/>
      <c r="J16" s="3"/>
    </row>
    <row r="17" spans="1:10">
      <c r="A17" s="3"/>
      <c r="B17" s="3"/>
      <c r="D17" s="3"/>
      <c r="E17" s="3"/>
      <c r="F17" s="3" t="s">
        <v>8</v>
      </c>
      <c r="I17" s="3"/>
      <c r="J17" s="3"/>
    </row>
    <row r="18" spans="1:10" ht="15.75">
      <c r="A18" s="3"/>
      <c r="B18" s="90">
        <f ca="1">'CUSTOM  INVOICE'!D9</f>
        <v>46301</v>
      </c>
      <c r="D18" s="3"/>
      <c r="E18" s="3"/>
      <c r="F18" s="3" t="s">
        <v>7</v>
      </c>
      <c r="G18" s="3"/>
      <c r="H18" s="133" t="str">
        <f>+'CUSTOM  INVOICE'!D23</f>
        <v>S/ 5157 /26</v>
      </c>
      <c r="I18" s="3"/>
      <c r="J18" s="3"/>
    </row>
    <row r="19" spans="1:10">
      <c r="A19" s="3"/>
      <c r="B19" s="3"/>
      <c r="C19" s="3"/>
      <c r="D19" s="3"/>
      <c r="E19" s="3"/>
      <c r="F19" s="3" t="s">
        <v>2</v>
      </c>
      <c r="G19" s="3" t="s">
        <v>2</v>
      </c>
      <c r="H19" s="3"/>
      <c r="I19" s="3"/>
      <c r="J19" s="3"/>
    </row>
    <row r="20" spans="1:10">
      <c r="A20" s="3"/>
      <c r="B20" s="3"/>
      <c r="C20" s="3"/>
      <c r="D20" s="3"/>
      <c r="E20" s="3"/>
      <c r="G20" s="3"/>
      <c r="H20" s="3"/>
      <c r="I20" s="3"/>
      <c r="J20" s="3"/>
    </row>
  </sheetData>
  <pageMargins left="0.8" right="0.15" top="0.66" bottom="1" header="0.22" footer="0.5"/>
  <pageSetup scale="92" orientation="portrait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3"/>
  <sheetViews>
    <sheetView topLeftCell="A10" workbookViewId="0">
      <selection activeCell="A27" sqref="A27"/>
    </sheetView>
  </sheetViews>
  <sheetFormatPr defaultColWidth="9.140625" defaultRowHeight="12.75"/>
  <cols>
    <col min="1" max="1" width="3.5703125" style="100" customWidth="1"/>
    <col min="2" max="3" width="9.140625" style="100"/>
    <col min="4" max="4" width="17.42578125" style="100" customWidth="1"/>
    <col min="5" max="5" width="9.42578125" style="100" bestFit="1" customWidth="1"/>
    <col min="6" max="6" width="9.5703125" style="100" customWidth="1"/>
    <col min="7" max="7" width="8" style="100" customWidth="1"/>
    <col min="8" max="8" width="11.5703125" style="100" customWidth="1"/>
    <col min="9" max="9" width="0.5703125" style="100" customWidth="1"/>
    <col min="10" max="10" width="9.140625" style="100"/>
    <col min="11" max="11" width="9.42578125" style="100" bestFit="1" customWidth="1"/>
    <col min="12" max="16384" width="9.140625" style="100"/>
  </cols>
  <sheetData>
    <row r="2" spans="2:9" ht="14.25" customHeight="1"/>
    <row r="3" spans="2:9" ht="11.25" customHeight="1">
      <c r="B3" s="101"/>
    </row>
    <row r="5" spans="2:9" ht="12" customHeight="1">
      <c r="E5" s="102"/>
      <c r="F5" s="103"/>
      <c r="G5" s="103"/>
      <c r="H5" s="104"/>
    </row>
    <row r="6" spans="2:9">
      <c r="E6" s="102"/>
      <c r="F6" s="103"/>
      <c r="G6" s="103"/>
      <c r="H6" s="104"/>
      <c r="I6" s="105"/>
    </row>
    <row r="7" spans="2:9" ht="13.5" customHeight="1">
      <c r="B7" s="106" t="s">
        <v>0</v>
      </c>
      <c r="E7" s="102"/>
      <c r="F7" s="103"/>
      <c r="G7" s="103"/>
      <c r="H7" s="104"/>
      <c r="I7" s="105"/>
    </row>
    <row r="8" spans="2:9" ht="10.5" customHeight="1">
      <c r="B8" s="106"/>
      <c r="E8" s="102"/>
      <c r="F8" s="103"/>
      <c r="G8" s="103"/>
      <c r="H8" s="104"/>
      <c r="I8" s="105"/>
    </row>
    <row r="9" spans="2:9">
      <c r="B9" s="106" t="s">
        <v>117</v>
      </c>
      <c r="E9" s="102"/>
      <c r="F9" s="103"/>
      <c r="G9" s="103"/>
      <c r="H9" s="103"/>
      <c r="I9" s="105"/>
    </row>
    <row r="10" spans="2:9" ht="10.5" customHeight="1">
      <c r="B10" s="106" t="s">
        <v>79</v>
      </c>
    </row>
    <row r="11" spans="2:9">
      <c r="B11" s="106" t="s">
        <v>118</v>
      </c>
    </row>
    <row r="12" spans="2:9" ht="12.75" customHeight="1">
      <c r="F12" s="107">
        <f>+'CUSTOM  INVOICE'!B25</f>
        <v>1</v>
      </c>
      <c r="G12" s="100" t="s">
        <v>119</v>
      </c>
    </row>
    <row r="13" spans="2:9" ht="13.5" customHeight="1"/>
    <row r="15" spans="2:9" ht="15" customHeight="1"/>
    <row r="16" spans="2:9" ht="13.5" customHeight="1">
      <c r="B16" s="100">
        <v>35120800</v>
      </c>
    </row>
    <row r="17" spans="1:9" ht="16.350000000000001" customHeight="1">
      <c r="A17" s="101"/>
      <c r="B17" s="102" t="s">
        <v>120</v>
      </c>
      <c r="C17" s="105"/>
      <c r="I17" s="108"/>
    </row>
    <row r="18" spans="1:9" ht="13.5" customHeight="1">
      <c r="B18" s="105" t="str">
        <f>+'CUSTOM  INVOICE'!D23</f>
        <v>S/ 5157 /26</v>
      </c>
      <c r="E18" s="103" t="s">
        <v>121</v>
      </c>
      <c r="F18" s="105"/>
      <c r="G18" s="105"/>
      <c r="H18" s="105"/>
      <c r="I18" s="108"/>
    </row>
    <row r="19" spans="1:9" ht="12" customHeight="1">
      <c r="E19" s="103" t="s">
        <v>8</v>
      </c>
      <c r="F19" s="105"/>
      <c r="G19" s="105"/>
      <c r="H19" s="105"/>
      <c r="I19" s="108"/>
    </row>
    <row r="20" spans="1:9" ht="12" customHeight="1">
      <c r="E20" s="103" t="s">
        <v>54</v>
      </c>
      <c r="F20" s="105"/>
      <c r="G20" s="105"/>
      <c r="H20" s="105"/>
    </row>
    <row r="21" spans="1:9" ht="9.75" customHeight="1">
      <c r="G21" s="109"/>
    </row>
    <row r="22" spans="1:9" ht="9.75" customHeight="1">
      <c r="G22" s="109"/>
    </row>
    <row r="23" spans="1:9" ht="9" customHeight="1"/>
    <row r="24" spans="1:9">
      <c r="B24" s="110" t="str">
        <f>+'CUSTOM  INVOICE'!C11</f>
        <v>EPIC GARMENTS MANUFACTURING CO.LTD.,(UNIT-2)</v>
      </c>
    </row>
    <row r="25" spans="1:9">
      <c r="A25" s="110" t="str">
        <f>+'CUSTOM  INVOICE'!C12</f>
        <v>SFB NO.08 (GROUND, 1ST,2ND,3RD &amp; 4TH FLOOR)</v>
      </c>
    </row>
    <row r="26" spans="1:9">
      <c r="A26" s="110" t="str">
        <f>+'CUSTOM  INVOICE'!C13</f>
        <v>DEPZ EXTENSION AREA, GONOK BARI, SAVAR,</v>
      </c>
    </row>
    <row r="27" spans="1:9">
      <c r="A27" s="110"/>
      <c r="B27" s="111"/>
    </row>
    <row r="28" spans="1:9" ht="10.5" customHeight="1">
      <c r="B28" s="110"/>
    </row>
    <row r="29" spans="1:9">
      <c r="B29" s="110"/>
    </row>
    <row r="30" spans="1:9" ht="12" customHeight="1">
      <c r="H30" s="112">
        <f ca="1">+'CUSTOM  INVOICE'!D9</f>
        <v>46301</v>
      </c>
    </row>
    <row r="31" spans="1:9" ht="11.25" customHeight="1"/>
    <row r="32" spans="1:9">
      <c r="B32" s="102"/>
    </row>
    <row r="33" spans="2:3">
      <c r="B33" s="102" t="s">
        <v>122</v>
      </c>
      <c r="C33" s="105"/>
    </row>
  </sheetData>
  <pageMargins left="0.63" right="0.75" top="0.87" bottom="1" header="0.5" footer="0.5"/>
  <pageSetup paperSize="9" orientation="portrait" blackAndWhite="1" horizontalDpi="180" verticalDpi="18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5"/>
  <sheetViews>
    <sheetView workbookViewId="0">
      <selection activeCell="H3" sqref="H3"/>
    </sheetView>
  </sheetViews>
  <sheetFormatPr defaultColWidth="9.140625" defaultRowHeight="12.75"/>
  <cols>
    <col min="1" max="1" width="3.5703125" style="2" customWidth="1"/>
    <col min="2" max="2" width="8.42578125" style="2" customWidth="1"/>
    <col min="3" max="3" width="4.5703125" style="2" customWidth="1"/>
    <col min="4" max="4" width="5.5703125" style="2" customWidth="1"/>
    <col min="5" max="5" width="13.42578125" style="2" customWidth="1"/>
    <col min="6" max="6" width="3.5703125" style="2" customWidth="1"/>
    <col min="7" max="7" width="3.140625" style="2" customWidth="1"/>
    <col min="8" max="8" width="5.42578125" style="2" customWidth="1"/>
    <col min="9" max="9" width="11.140625" style="2" customWidth="1"/>
    <col min="10" max="10" width="16.42578125" style="2" customWidth="1"/>
    <col min="11" max="11" width="18.5703125" style="2" customWidth="1"/>
    <col min="12" max="16384" width="9.140625" style="2"/>
  </cols>
  <sheetData>
    <row r="1" spans="1:11" ht="17.25" customHeight="1"/>
    <row r="2" spans="1:11" ht="7.5" customHeight="1">
      <c r="A2" s="113"/>
      <c r="B2" s="1"/>
      <c r="C2" s="114"/>
      <c r="F2" s="115"/>
      <c r="J2" s="113"/>
      <c r="K2" s="113"/>
    </row>
    <row r="3" spans="1:11">
      <c r="A3" s="113"/>
      <c r="B3" s="1"/>
      <c r="C3" s="113"/>
      <c r="D3" s="113"/>
      <c r="E3" s="116" t="str">
        <f>+'CUSTOM  INVOICE'!D23</f>
        <v>S/ 5157 /26</v>
      </c>
      <c r="G3" s="6" t="str">
        <f>+'CUSTOM  INVOICE'!C11</f>
        <v>EPIC GARMENTS MANUFACTURING CO.LTD.,(UNIT-2)</v>
      </c>
      <c r="J3" s="113"/>
      <c r="K3" s="113"/>
    </row>
    <row r="4" spans="1:11" ht="5.25" customHeight="1">
      <c r="A4" s="113"/>
      <c r="B4" s="1"/>
      <c r="C4" s="113"/>
      <c r="D4" s="113"/>
      <c r="E4" s="1"/>
      <c r="G4" s="6"/>
      <c r="J4" s="113"/>
      <c r="K4" s="113"/>
    </row>
    <row r="5" spans="1:11">
      <c r="A5" s="113"/>
      <c r="B5" s="6" t="s">
        <v>0</v>
      </c>
      <c r="C5" s="1"/>
      <c r="D5" s="1"/>
      <c r="E5" s="1"/>
      <c r="F5" s="117"/>
      <c r="G5" s="232" t="str">
        <f>CONCATENATE('CUSTOM  INVOICE'!C12,'CUSTOM  INVOICE'!C13,'CUSTOM  INVOICE'!E14)</f>
        <v>SFB NO.08 (GROUND, 1ST,2ND,3RD &amp; 4TH FLOOR)DEPZ EXTENSION AREA, GONOK BARI, SAVAR,</v>
      </c>
      <c r="H5" s="232"/>
      <c r="I5" s="232"/>
      <c r="J5" s="232"/>
      <c r="K5" s="113"/>
    </row>
    <row r="6" spans="1:11">
      <c r="A6" s="113"/>
      <c r="B6" s="118" t="str">
        <f>+'CUSTOM  INVOICE'!E2</f>
        <v>7/F, EGL TOWER</v>
      </c>
      <c r="C6" s="1"/>
      <c r="D6" s="1"/>
      <c r="E6" s="1"/>
      <c r="F6" s="117"/>
      <c r="G6" s="232"/>
      <c r="H6" s="232"/>
      <c r="I6" s="232"/>
      <c r="J6" s="232"/>
      <c r="K6" s="113"/>
    </row>
    <row r="7" spans="1:11">
      <c r="A7" s="113"/>
      <c r="B7" s="118" t="str">
        <f>+'CUSTOM  INVOICE'!E3</f>
        <v>83 HUNG TO ROAD, KWUN TONG</v>
      </c>
      <c r="C7" s="1"/>
      <c r="D7" s="1"/>
      <c r="E7" s="1"/>
      <c r="F7" s="113"/>
      <c r="G7" s="232"/>
      <c r="H7" s="232"/>
      <c r="I7" s="232"/>
      <c r="J7" s="232"/>
      <c r="K7" s="113"/>
    </row>
    <row r="8" spans="1:11">
      <c r="A8" s="113"/>
      <c r="B8" s="118" t="str">
        <f>+'CUSTOM  INVOICE'!E4</f>
        <v>KOWLOON, HONG KONG.</v>
      </c>
      <c r="C8" s="1"/>
      <c r="E8" s="1"/>
      <c r="K8" s="113"/>
    </row>
    <row r="9" spans="1:11" ht="14.25" customHeight="1">
      <c r="A9" s="113"/>
      <c r="B9" s="1"/>
      <c r="C9" s="1"/>
      <c r="E9" s="1"/>
      <c r="G9" s="118" t="s">
        <v>123</v>
      </c>
      <c r="J9" s="113"/>
      <c r="K9" s="113"/>
    </row>
    <row r="10" spans="1:11" ht="12" customHeight="1">
      <c r="A10" s="113"/>
      <c r="C10" s="1"/>
      <c r="E10" s="1"/>
    </row>
    <row r="11" spans="1:11" ht="11.25" customHeight="1">
      <c r="A11" s="113"/>
      <c r="B11" s="113"/>
      <c r="C11" s="113"/>
      <c r="D11" s="113"/>
      <c r="E11" s="113"/>
      <c r="G11" s="1" t="s">
        <v>54</v>
      </c>
      <c r="J11" s="113"/>
      <c r="K11" s="113"/>
    </row>
    <row r="12" spans="1:11">
      <c r="A12" s="113"/>
      <c r="C12" s="113"/>
      <c r="D12" s="113"/>
      <c r="E12" s="113"/>
      <c r="F12" s="1"/>
      <c r="J12" s="113"/>
      <c r="K12" s="113"/>
    </row>
    <row r="13" spans="1:11">
      <c r="B13" s="119" t="s">
        <v>120</v>
      </c>
      <c r="C13" s="113"/>
      <c r="D13" s="113"/>
      <c r="E13" s="120">
        <v>35120800</v>
      </c>
      <c r="F13" s="1"/>
      <c r="I13" s="113"/>
      <c r="J13" s="113"/>
      <c r="K13" s="113"/>
    </row>
    <row r="14" spans="1:11" ht="10.5" customHeight="1">
      <c r="C14" s="113"/>
      <c r="D14" s="113"/>
      <c r="E14" s="113"/>
      <c r="F14" s="1"/>
      <c r="I14" s="113"/>
      <c r="J14" s="113"/>
      <c r="K14" s="113"/>
    </row>
    <row r="15" spans="1:11">
      <c r="A15" s="121">
        <f>+'CUSTOM  INVOICE'!B25</f>
        <v>1</v>
      </c>
      <c r="B15" s="2" t="s">
        <v>5</v>
      </c>
      <c r="C15" s="113"/>
      <c r="D15" s="113"/>
      <c r="E15" s="113"/>
      <c r="F15" s="1"/>
      <c r="I15" s="113"/>
      <c r="J15" s="113"/>
      <c r="K15" s="113"/>
    </row>
    <row r="16" spans="1:11">
      <c r="A16" s="113"/>
      <c r="B16" s="113"/>
      <c r="E16" s="113"/>
      <c r="F16" s="1"/>
      <c r="I16" s="113"/>
      <c r="J16" s="113"/>
      <c r="K16" s="113"/>
    </row>
    <row r="17" spans="1:11">
      <c r="A17" s="113"/>
      <c r="B17" s="113"/>
      <c r="F17" s="1"/>
      <c r="I17" s="113"/>
      <c r="J17" s="113"/>
    </row>
    <row r="18" spans="1:11">
      <c r="A18" s="113"/>
      <c r="B18" s="113"/>
      <c r="E18" s="122"/>
      <c r="I18" s="113"/>
      <c r="J18" s="113"/>
    </row>
    <row r="19" spans="1:11">
      <c r="A19" s="113"/>
      <c r="E19" s="113"/>
    </row>
    <row r="20" spans="1:11">
      <c r="A20" s="113"/>
      <c r="C20" s="123"/>
      <c r="E20" s="124">
        <f ca="1">+'CUSTOM  INVOICE'!D9</f>
        <v>46301</v>
      </c>
    </row>
    <row r="21" spans="1:11">
      <c r="A21" s="113"/>
      <c r="C21" s="113"/>
      <c r="E21" s="113"/>
      <c r="H21" s="113"/>
    </row>
    <row r="22" spans="1:11">
      <c r="A22" s="113"/>
      <c r="C22" s="113"/>
      <c r="E22" s="113"/>
      <c r="H22" s="113"/>
      <c r="I22" s="113"/>
      <c r="J22" s="113"/>
      <c r="K22" s="113"/>
    </row>
    <row r="23" spans="1:11">
      <c r="A23" s="125" t="s">
        <v>124</v>
      </c>
      <c r="C23" s="113"/>
      <c r="E23" s="113"/>
      <c r="I23" s="113"/>
      <c r="J23" s="113"/>
      <c r="K23" s="113"/>
    </row>
    <row r="24" spans="1:11">
      <c r="A24" s="125" t="s">
        <v>125</v>
      </c>
      <c r="I24" s="113"/>
    </row>
    <row r="25" spans="1:11">
      <c r="I25" s="113"/>
      <c r="J25" s="113"/>
    </row>
    <row r="26" spans="1:11">
      <c r="A26" s="115"/>
      <c r="F26" s="126"/>
    </row>
    <row r="27" spans="1:11">
      <c r="D27" s="127"/>
      <c r="I27" s="113"/>
      <c r="J27" s="113"/>
    </row>
    <row r="29" spans="1:11">
      <c r="A29" s="128" t="s">
        <v>2</v>
      </c>
    </row>
    <row r="30" spans="1:11">
      <c r="A30" s="129"/>
    </row>
    <row r="31" spans="1:11">
      <c r="A31" s="128"/>
      <c r="H31" s="128" t="s">
        <v>2</v>
      </c>
    </row>
    <row r="32" spans="1:11">
      <c r="A32" s="129"/>
    </row>
    <row r="33" spans="1:8">
      <c r="A33" s="129"/>
    </row>
    <row r="35" spans="1:8">
      <c r="H35" s="127"/>
    </row>
  </sheetData>
  <mergeCells count="1">
    <mergeCell ref="G5:J7"/>
  </mergeCells>
  <pageMargins left="0.26" right="0" top="0.94" bottom="1" header="0.5" footer="0.5"/>
  <pageSetup paperSize="9" orientation="portrait" blackAndWhite="1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4E01CD-07A1-4359-BF27-F68A519ABB97}"/>
</file>

<file path=customXml/itemProps2.xml><?xml version="1.0" encoding="utf-8"?>
<ds:datastoreItem xmlns:ds="http://schemas.openxmlformats.org/officeDocument/2006/customXml" ds:itemID="{103116D1-37F8-4044-803B-5EAD08012CE1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06EFA1E7-0FB6-4DD6-8EA8-DA6F528D1E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IBC (NEW)</vt:lpstr>
      <vt:lpstr>UTC</vt:lpstr>
      <vt:lpstr>JANCO</vt:lpstr>
      <vt:lpstr>CUSTOM  INVOICE</vt:lpstr>
      <vt:lpstr>YMX</vt:lpstr>
      <vt:lpstr>JANCO EXPRESS</vt:lpstr>
      <vt:lpstr>KLT</vt:lpstr>
      <vt:lpstr>DREAMCO</vt:lpstr>
      <vt:lpstr>ROYALE </vt:lpstr>
      <vt:lpstr>RPX </vt:lpstr>
      <vt:lpstr>'ROYALE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Chung</dc:creator>
  <cp:keywords/>
  <dc:description/>
  <cp:lastModifiedBy>Sanwar Hossain</cp:lastModifiedBy>
  <cp:revision/>
  <dcterms:created xsi:type="dcterms:W3CDTF">2015-03-16T07:20:44Z</dcterms:created>
  <dcterms:modified xsi:type="dcterms:W3CDTF">2026-10-06T05:34:32Z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