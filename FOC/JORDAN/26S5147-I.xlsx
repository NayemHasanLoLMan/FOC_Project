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"/>
    </mc:Choice>
  </mc:AlternateContent>
  <xr:revisionPtr revIDLastSave="124" documentId="8_{5ED0F520-09A2-4CA2-94FF-2A5E46928F98}" xr6:coauthVersionLast="47" xr6:coauthVersionMax="47" xr10:uidLastSave="{B4DD7478-4D52-4C37-AA14-EA358572A488}"/>
  <bookViews>
    <workbookView xWindow="-120" yWindow="-120" windowWidth="20730" windowHeight="11040" xr2:uid="{DBADB63F-3A70-41E3-B334-3A90DE0EAB43}"/>
  </bookViews>
  <sheets>
    <sheet name="CUSTOM  INVOICE " sheetId="1" r:id="rId1"/>
  </sheets>
  <definedNames>
    <definedName name="___UTC2" localSheetId="0" hidden="1">#REF!</definedName>
    <definedName name="___UTC2" hidden="1">#REF!</definedName>
    <definedName name="_DA120" localSheetId="0" hidden="1">#REF!</definedName>
    <definedName name="_DA120" hidden="1">#REF!</definedName>
    <definedName name="_Key1" localSheetId="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0">'CUSTOM  INVOICE '!$A$1:$J$53</definedName>
    <definedName name="UTC" localSheetId="0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1" l="1"/>
  <c r="I43" i="1"/>
  <c r="I42" i="1"/>
  <c r="I41" i="1"/>
  <c r="I40" i="1"/>
  <c r="I39" i="1"/>
  <c r="I38" i="1"/>
  <c r="I37" i="1"/>
  <c r="I36" i="1"/>
  <c r="I35" i="1"/>
  <c r="I34" i="1"/>
  <c r="I33" i="1"/>
  <c r="I32" i="1"/>
  <c r="I30" i="1"/>
  <c r="I29" i="1"/>
  <c r="I27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J24" authorId="0" shapeId="0" xr:uid="{CA79E2C4-4F65-4511-8250-2EAC6C6E4003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<sst xmlns="http://schemas.openxmlformats.org/spreadsheetml/2006/main" count="81" uniqueCount="52">
  <si>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</si>
  <si>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</si>
  <si>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</si>
  <si>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</si>
  <si>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</si>
  <si>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</si>
  <si>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</si>
  <si>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</si>
  <si>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EJU1FOCTS</t>
  </si>
  <si>
    <t>JORDAN</t>
  </si>
  <si>
    <t>CONSIGNEE :</t>
  </si>
  <si>
    <t>EPIC DESIGNERS LIMITED JORDAN</t>
  </si>
  <si>
    <t xml:space="preserve">C/NO: </t>
  </si>
  <si>
    <r>
      <t xml:space="preserve">AD DULAYL INDUSTRIAL PARK, </t>
    </r>
    <r>
      <rPr>
        <sz val="10"/>
        <color rgb="FFFF0000"/>
        <rFont val="Arial"/>
        <family val="2"/>
      </rPr>
      <t>LANE</t>
    </r>
    <r>
      <rPr>
        <sz val="10"/>
        <rFont val="Arial"/>
        <family val="2"/>
      </rPr>
      <t xml:space="preserve"> NO. 1201,</t>
    </r>
  </si>
  <si>
    <r>
      <t xml:space="preserve">AD </t>
    </r>
    <r>
      <rPr>
        <sz val="10"/>
        <color rgb="FFFF0000"/>
        <rFont val="Arial"/>
        <family val="2"/>
      </rPr>
      <t xml:space="preserve">DULAYL </t>
    </r>
    <r>
      <rPr>
        <sz val="10"/>
        <rFont val="Arial"/>
        <family val="2"/>
      </rPr>
      <t>BASIN 5, AD DULAYL, ZARQA, JORDAN</t>
    </r>
  </si>
  <si>
    <t xml:space="preserve"> </t>
  </si>
  <si>
    <t>COUNTRY OF ULTIMATE DESTINATION :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</si>
  <si>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</si>
  <si>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</si>
  <si>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</si>
  <si>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</si>
  <si>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</si>
  <si>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</si>
  <si>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</si>
  <si>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</si>
  <si>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VALUE</t>
  </si>
  <si>
    <t>YDS</t>
  </si>
  <si>
    <t>$</t>
  </si>
  <si>
    <t>PCS</t>
  </si>
  <si>
    <t>TOTAL VALUE:</t>
  </si>
  <si>
    <t xml:space="preserve">COUNTRY OF ORIGEN : CHINA </t>
  </si>
  <si>
    <t xml:space="preserve">SAMPLE OF NO COMMERCIAL VALUE </t>
  </si>
  <si>
    <t>INVOICE ONLY FOR CUSTOMS PURPOSE</t>
  </si>
  <si>
    <t>J01-J09</t>
  </si>
  <si>
    <t>S/5147/26</t>
  </si>
  <si>
    <t>100% COTTON WOVEN FABRICS</t>
  </si>
  <si>
    <t>60% COTTON 40% POLYESTER WOVEN FABRICS</t>
  </si>
  <si>
    <t>70% COTTON 30% POLYESTER WOVEN FABRICS</t>
  </si>
  <si>
    <t>THREAD</t>
  </si>
  <si>
    <t>CONES</t>
  </si>
  <si>
    <t xml:space="preserve">BUTTON </t>
  </si>
  <si>
    <t>GRS</t>
  </si>
  <si>
    <t>TRIMS CARD</t>
  </si>
  <si>
    <t>ELASTIC</t>
  </si>
  <si>
    <t>FAB SWATCHES</t>
  </si>
  <si>
    <t>LABEL</t>
  </si>
  <si>
    <t>SEA CORD</t>
  </si>
  <si>
    <t>HANGTAGE</t>
  </si>
  <si>
    <t>INTERLINING</t>
  </si>
  <si>
    <t>67% RAYON 28% COTTON 5% SPANDEX KNIT PANT</t>
  </si>
  <si>
    <t>LADIES 100% COTTON KNIT</t>
  </si>
  <si>
    <t>88% RECYCLE POLYESTER 12% SPANDE KNIT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</si>
</sst>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"/>
      <family val="1"/>
      <charset val="255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/>
    <xf numFmtId="1" fontId="5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3" fontId="0" fillId="0" borderId="0" xfId="3" applyNumberFormat="1" applyFont="1" applyAlignment="1">
      <alignment vertical="center"/>
    </xf>
    <xf numFmtId="44" fontId="0" fillId="0" borderId="0" xfId="2" applyFont="1" applyAlignment="1">
      <alignment vertical="center"/>
    </xf>
    <xf numFmtId="7" fontId="8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quotePrefix="1" applyAlignment="1">
      <alignment horizontal="center"/>
    </xf>
    <xf numFmtId="43" fontId="0" fillId="0" borderId="0" xfId="1" applyFont="1" applyAlignment="1"/>
    <xf numFmtId="3" fontId="0" fillId="0" borderId="0" xfId="3" applyNumberFormat="1" applyFont="1"/>
    <xf numFmtId="0" fontId="0" fillId="0" borderId="0" xfId="0" applyAlignment="1">
      <alignment horizontal="right"/>
    </xf>
    <xf numFmtId="44" fontId="6" fillId="0" borderId="1" xfId="0" applyNumberFormat="1" applyFont="1" applyBorder="1"/>
    <xf numFmtId="2" fontId="13" fillId="0" borderId="0" xfId="0" applyNumberFormat="1" applyFont="1" applyAlignment="1">
      <alignment horizontal="center"/>
    </xf>
    <xf numFmtId="7" fontId="8" fillId="0" borderId="0" xfId="0" applyNumberFormat="1" applyFont="1"/>
    <xf numFmtId="2" fontId="1" fillId="0" borderId="0" xfId="0" applyNumberFormat="1" applyFont="1" applyAlignment="1">
      <alignment horizontal="center"/>
    </xf>
    <xf numFmtId="3" fontId="1" fillId="0" borderId="0" xfId="3" applyNumberFormat="1" applyFont="1"/>
    <xf numFmtId="7" fontId="0" fillId="0" borderId="0" xfId="0" applyNumberFormat="1"/>
    <xf numFmtId="0" fontId="0" fillId="0" borderId="0" xfId="0" quotePrefix="1"/>
    <xf numFmtId="0" fontId="0" fillId="0" borderId="0" xfId="0" applyBorder="1"/>
    <xf numFmtId="43" fontId="0" fillId="0" borderId="0" xfId="0" applyNumberFormat="1" applyBorder="1"/>
    <xf numFmtId="3" fontId="0" fillId="0" borderId="0" xfId="0" applyNumberFormat="1" applyBorder="1"/>
    <xf numFmtId="2" fontId="0" fillId="0" borderId="0" xfId="0" applyNumberFormat="1" applyBorder="1"/>
  </cellXfs>
  <cellStyles count="4">
    <cellStyle name="Comma" xfId="1" builtinId="3"/>
    <cellStyle name="Currency" xfId="2" builtinId="4"/>
    <cellStyle name="Normal" xfId="0" builtinId="0"/>
    <cellStyle name="Style 1" xfId="3" xr:uid="{B548721E-C6D4-403B-86E8-53D19E4B2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8CE2-60BA-42C6-B2D1-BCEE2FB1302E}">
  <dimension ref="A1:L55"/>
  <sheetViews>
    <sheetView tabSelected="1" topLeftCell="A3" zoomScale="145" zoomScaleNormal="145" zoomScaleSheetLayoutView="85" workbookViewId="0">
      <selection activeCell="K7" sqref="K7"/>
    </sheetView>
  </sheetViews>
  <sheetFormatPr defaultRowHeight="12.75"/>
  <cols>
    <col min="1" max="1" width="12.42578125" customWidth="1"/>
    <col min="2" max="2" width="10.28515625" customWidth="1"/>
    <col min="3" max="3" width="13.140625" customWidth="1"/>
    <col min="4" max="4" width="14.42578125" customWidth="1"/>
    <col min="5" max="5" width="9.140625" customWidth="1"/>
    <col min="6" max="6" width="7.7109375" customWidth="1"/>
    <col min="7" max="7" width="6" customWidth="1"/>
    <col min="8" max="8" width="7.5703125" customWidth="1"/>
    <col min="9" max="9" width="8.85546875" customWidth="1"/>
    <col min="10" max="10" width="10.4257812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C9" s="7">
        <v>46295</v>
      </c>
      <c r="F9" t="s">
        <v>7</v>
      </c>
      <c r="I9" t="s">
        <v>8</v>
      </c>
    </row>
    <row r="10" spans="1:10">
      <c r="I10" s="8" t="s">
        <v>9</v>
      </c>
    </row>
    <row r="11" spans="1:10">
      <c r="A11" t="s">
        <v>10</v>
      </c>
      <c r="C11" s="1" t="s">
        <v>11</v>
      </c>
      <c r="D11" s="9"/>
      <c r="E11" s="9"/>
      <c r="F11" s="10"/>
      <c r="I11" s="11" t="s">
        <v>12</v>
      </c>
      <c r="J11" s="12" t="s">
        <v>33</v>
      </c>
    </row>
    <row r="12" spans="1:10">
      <c r="C12" t="s">
        <v>13</v>
      </c>
      <c r="D12" s="9"/>
      <c r="E12" s="9"/>
      <c r="F12" s="10"/>
      <c r="J12" s="12"/>
    </row>
    <row r="13" spans="1:10">
      <c r="C13" t="s">
        <v>14</v>
      </c>
      <c r="D13" s="9"/>
      <c r="E13" s="9"/>
      <c r="F13" s="10"/>
    </row>
    <row r="14" spans="1:10">
      <c r="C14" t="s">
        <v>15</v>
      </c>
      <c r="E14" s="9"/>
    </row>
    <row r="15" spans="1:10">
      <c r="A15" s="13"/>
      <c r="C15" s="14"/>
      <c r="D15" s="15"/>
    </row>
    <row r="16" spans="1:10">
      <c r="A16" t="s">
        <v>16</v>
      </c>
      <c r="D16" s="16" t="s">
        <v>9</v>
      </c>
    </row>
    <row r="18" spans="1:12">
      <c r="A18" t="s">
        <v>17</v>
      </c>
      <c r="C18" s="17" t="s">
        <v>34</v>
      </c>
    </row>
    <row r="20" spans="1:12">
      <c r="C20" s="16"/>
    </row>
    <row r="21" spans="1:12">
      <c r="A21" s="3" t="s">
        <v>18</v>
      </c>
      <c r="B21" s="4">
        <v>9</v>
      </c>
      <c r="C21" s="3" t="s">
        <v>19</v>
      </c>
      <c r="D21" s="3"/>
      <c r="E21" s="18" t="s">
        <v>20</v>
      </c>
      <c r="F21" s="19">
        <v>120</v>
      </c>
      <c r="G21" s="3" t="s">
        <v>21</v>
      </c>
    </row>
    <row r="22" spans="1:12">
      <c r="A22" s="3"/>
      <c r="B22" s="4"/>
      <c r="C22" s="3"/>
      <c r="D22" s="3"/>
      <c r="E22" s="18"/>
      <c r="F22" s="19"/>
      <c r="G22" s="3"/>
    </row>
    <row r="23" spans="1:12">
      <c r="H23" s="20"/>
      <c r="I23" s="20"/>
      <c r="J23" s="20"/>
    </row>
    <row r="24" spans="1:12">
      <c r="A24" s="21" t="s">
        <v>22</v>
      </c>
      <c r="B24" s="21" t="s">
        <v>23</v>
      </c>
      <c r="F24" s="22" t="s">
        <v>21</v>
      </c>
      <c r="G24" s="21" t="s">
        <v>24</v>
      </c>
      <c r="H24" s="21"/>
      <c r="I24" s="22" t="s">
        <v>25</v>
      </c>
      <c r="J24" s="22"/>
    </row>
    <row r="25" spans="1:12">
      <c r="A25" s="21"/>
      <c r="B25" s="21"/>
      <c r="G25" s="21"/>
      <c r="H25" s="21"/>
      <c r="I25" s="23"/>
      <c r="J25" s="23"/>
    </row>
    <row r="26" spans="1:12">
      <c r="A26" s="20" t="s">
        <v>15</v>
      </c>
      <c r="B26" s="24"/>
    </row>
    <row r="27" spans="1:12" ht="18" customHeight="1">
      <c r="A27" s="25" t="str">
        <f>+J11</f>
        <v>J01-J09</v>
      </c>
      <c r="B27" s="26" t="s">
        <v>35</v>
      </c>
      <c r="C27" s="26"/>
      <c r="D27" s="26"/>
      <c r="F27" s="27">
        <v>10</v>
      </c>
      <c r="G27" s="28">
        <v>21</v>
      </c>
      <c r="H27" s="26" t="s">
        <v>26</v>
      </c>
      <c r="I27" s="29">
        <f>SUM(G27*$K$27)</f>
        <v>4.2</v>
      </c>
      <c r="J27" s="30"/>
      <c r="K27">
        <v>0.2</v>
      </c>
      <c r="L27" s="31" t="s">
        <v>27</v>
      </c>
    </row>
    <row r="28" spans="1:12" ht="15.95" customHeight="1">
      <c r="A28" s="25"/>
      <c r="B28" s="26"/>
      <c r="C28" s="26"/>
      <c r="D28" s="26"/>
      <c r="F28" s="27"/>
      <c r="G28" s="28"/>
      <c r="H28" s="26"/>
      <c r="I28" s="29"/>
      <c r="J28" s="30"/>
      <c r="L28" s="31"/>
    </row>
    <row r="29" spans="1:12" ht="15.95" customHeight="1">
      <c r="A29" s="25"/>
      <c r="B29" s="26" t="s">
        <v>36</v>
      </c>
      <c r="C29" s="26"/>
      <c r="D29" s="26"/>
      <c r="F29" s="27">
        <v>10</v>
      </c>
      <c r="G29" s="28">
        <v>20</v>
      </c>
      <c r="H29" s="26" t="s">
        <v>26</v>
      </c>
      <c r="I29" s="29">
        <f>SUM(G29*$K$29)</f>
        <v>4</v>
      </c>
      <c r="J29" s="30"/>
      <c r="K29">
        <v>0.2</v>
      </c>
      <c r="L29" s="31" t="s">
        <v>27</v>
      </c>
    </row>
    <row r="30" spans="1:12" ht="15.95" customHeight="1">
      <c r="A30" s="25"/>
      <c r="B30" s="26" t="s">
        <v>37</v>
      </c>
      <c r="C30" s="26"/>
      <c r="D30" s="26"/>
      <c r="F30" s="27">
        <v>20</v>
      </c>
      <c r="G30" s="28">
        <v>42.5</v>
      </c>
      <c r="H30" s="26" t="s">
        <v>26</v>
      </c>
      <c r="I30" s="29">
        <f>SUM(G30*$K$30)</f>
        <v>8.5</v>
      </c>
      <c r="J30" s="30"/>
      <c r="K30">
        <v>0.2</v>
      </c>
      <c r="L30" s="31" t="s">
        <v>27</v>
      </c>
    </row>
    <row r="31" spans="1:12" ht="15.95" customHeight="1">
      <c r="A31" s="25"/>
      <c r="B31" s="26"/>
      <c r="C31" s="26"/>
      <c r="D31" s="26"/>
      <c r="F31" s="28"/>
      <c r="G31" s="26"/>
      <c r="H31" s="29"/>
      <c r="I31" s="30"/>
      <c r="K31" s="31"/>
    </row>
    <row r="32" spans="1:12">
      <c r="A32" s="32"/>
      <c r="B32" t="s">
        <v>38</v>
      </c>
      <c r="F32" s="33">
        <v>5</v>
      </c>
      <c r="G32" s="34">
        <v>30</v>
      </c>
      <c r="H32" t="s">
        <v>39</v>
      </c>
      <c r="I32" s="29">
        <f>SUM(G32*$K$32)</f>
        <v>0.6</v>
      </c>
      <c r="J32" s="30"/>
      <c r="K32">
        <v>0.02</v>
      </c>
      <c r="L32" s="31" t="s">
        <v>27</v>
      </c>
    </row>
    <row r="33" spans="1:12">
      <c r="A33" s="32"/>
      <c r="B33" t="s">
        <v>40</v>
      </c>
      <c r="F33" s="33">
        <v>5</v>
      </c>
      <c r="G33" s="34">
        <v>4</v>
      </c>
      <c r="H33" t="s">
        <v>41</v>
      </c>
      <c r="I33" s="29">
        <f>SUM(G33*$K$33)</f>
        <v>0.04</v>
      </c>
      <c r="J33" s="30"/>
      <c r="K33">
        <v>0.01</v>
      </c>
      <c r="L33" s="31" t="s">
        <v>27</v>
      </c>
    </row>
    <row r="34" spans="1:12">
      <c r="A34" s="32"/>
      <c r="B34" s="26" t="s">
        <v>42</v>
      </c>
      <c r="F34" s="33">
        <v>2</v>
      </c>
      <c r="G34" s="34">
        <v>1</v>
      </c>
      <c r="H34" t="s">
        <v>28</v>
      </c>
      <c r="I34" s="29">
        <f>SUM(G34*$K$34)</f>
        <v>0.01</v>
      </c>
      <c r="J34" s="30"/>
      <c r="K34">
        <v>0.01</v>
      </c>
      <c r="L34" s="31" t="s">
        <v>27</v>
      </c>
    </row>
    <row r="35" spans="1:12">
      <c r="A35" s="32"/>
      <c r="B35" s="26" t="s">
        <v>43</v>
      </c>
      <c r="F35" s="33">
        <v>40</v>
      </c>
      <c r="G35" s="34">
        <v>90</v>
      </c>
      <c r="H35" t="s">
        <v>26</v>
      </c>
      <c r="I35" s="29">
        <f>SUM(G35*$K$35)</f>
        <v>1.8</v>
      </c>
      <c r="J35" s="30"/>
      <c r="K35">
        <v>0.02</v>
      </c>
      <c r="L35" s="31" t="s">
        <v>27</v>
      </c>
    </row>
    <row r="36" spans="1:12">
      <c r="A36" s="32"/>
      <c r="B36" s="26" t="s">
        <v>44</v>
      </c>
      <c r="F36" s="33">
        <v>1</v>
      </c>
      <c r="G36" s="34">
        <v>61</v>
      </c>
      <c r="H36" t="s">
        <v>28</v>
      </c>
      <c r="I36" s="29">
        <f>SUM(G36*$K$35)</f>
        <v>1.22</v>
      </c>
      <c r="J36" s="30"/>
      <c r="K36">
        <v>0.01</v>
      </c>
      <c r="L36" s="31" t="s">
        <v>27</v>
      </c>
    </row>
    <row r="37" spans="1:12">
      <c r="A37" s="32"/>
      <c r="B37" s="26" t="s">
        <v>45</v>
      </c>
      <c r="F37" s="33">
        <v>5</v>
      </c>
      <c r="G37" s="34">
        <v>120</v>
      </c>
      <c r="H37" t="s">
        <v>28</v>
      </c>
      <c r="I37" s="29">
        <f>SUM(G37*$K$35)</f>
        <v>2.4</v>
      </c>
      <c r="J37" s="30"/>
      <c r="K37">
        <v>0.01</v>
      </c>
      <c r="L37" s="31" t="s">
        <v>27</v>
      </c>
    </row>
    <row r="38" spans="1:12">
      <c r="A38" s="32"/>
      <c r="B38" s="26" t="s">
        <v>46</v>
      </c>
      <c r="F38" s="33">
        <v>4</v>
      </c>
      <c r="G38" s="34">
        <v>60</v>
      </c>
      <c r="H38" t="s">
        <v>28</v>
      </c>
      <c r="I38" s="29">
        <f>SUM(G38*$K$35)</f>
        <v>1.2</v>
      </c>
      <c r="J38" s="30"/>
      <c r="K38">
        <v>0.01</v>
      </c>
      <c r="L38" s="31" t="s">
        <v>27</v>
      </c>
    </row>
    <row r="39" spans="1:12">
      <c r="A39" s="32"/>
      <c r="B39" s="26" t="s">
        <v>47</v>
      </c>
      <c r="F39" s="33">
        <v>4</v>
      </c>
      <c r="G39" s="34">
        <v>60</v>
      </c>
      <c r="H39" t="s">
        <v>28</v>
      </c>
      <c r="I39" s="29">
        <f>SUM(G39*$K$35)</f>
        <v>1.2</v>
      </c>
      <c r="J39" s="30"/>
      <c r="K39">
        <v>0.01</v>
      </c>
      <c r="L39" s="31" t="s">
        <v>27</v>
      </c>
    </row>
    <row r="40" spans="1:12">
      <c r="A40" s="32"/>
      <c r="B40" s="26" t="s">
        <v>48</v>
      </c>
      <c r="F40" s="33">
        <v>10</v>
      </c>
      <c r="G40" s="34">
        <v>30</v>
      </c>
      <c r="H40" t="s">
        <v>26</v>
      </c>
      <c r="I40" s="29">
        <f>SUM(G40*$K$35)</f>
        <v>0.6</v>
      </c>
      <c r="J40" s="30"/>
      <c r="K40">
        <v>0.02</v>
      </c>
      <c r="L40" s="31" t="s">
        <v>27</v>
      </c>
    </row>
    <row r="41" spans="1:12">
      <c r="A41" s="32"/>
      <c r="B41" s="26" t="s">
        <v>49</v>
      </c>
      <c r="F41" s="33">
        <v>1</v>
      </c>
      <c r="G41" s="34">
        <v>2</v>
      </c>
      <c r="H41" t="s">
        <v>28</v>
      </c>
      <c r="I41" s="29">
        <f>SUM(G41*$K$35)</f>
        <v>0.04</v>
      </c>
      <c r="J41" s="30"/>
      <c r="K41">
        <v>0.01</v>
      </c>
      <c r="L41" s="31" t="s">
        <v>27</v>
      </c>
    </row>
    <row r="42" spans="1:12">
      <c r="A42" s="32"/>
      <c r="B42" s="26" t="s">
        <v>50</v>
      </c>
      <c r="F42" s="33">
        <v>2</v>
      </c>
      <c r="G42" s="34">
        <v>8</v>
      </c>
      <c r="H42" t="s">
        <v>28</v>
      </c>
      <c r="I42" s="29">
        <f>SUM(G42*$K$35)</f>
        <v>0.16</v>
      </c>
      <c r="J42" s="30"/>
      <c r="K42">
        <v>0.01</v>
      </c>
      <c r="L42" s="31" t="s">
        <v>27</v>
      </c>
    </row>
    <row r="43" spans="1:12">
      <c r="A43" s="32"/>
      <c r="B43" s="26" t="s">
        <v>51</v>
      </c>
      <c r="F43" s="33">
        <v>1</v>
      </c>
      <c r="G43" s="34">
        <v>5</v>
      </c>
      <c r="H43" t="s">
        <v>28</v>
      </c>
      <c r="I43" s="29">
        <f>SUM(G43*$K$35)</f>
        <v>0.1</v>
      </c>
      <c r="J43" s="30"/>
      <c r="K43">
        <v>0.01</v>
      </c>
      <c r="L43" s="31" t="s">
        <v>27</v>
      </c>
    </row>
    <row r="44" spans="1:12">
      <c r="A44" s="32"/>
      <c r="B44" s="26"/>
      <c r="F44" s="33"/>
      <c r="G44" s="34"/>
      <c r="I44" s="29"/>
      <c r="J44" s="30"/>
      <c r="L44" s="31"/>
    </row>
    <row r="45" spans="1:12" s="43" customFormat="1">
      <c r="F45" s="44"/>
      <c r="G45" s="45"/>
      <c r="I45" s="46"/>
    </row>
    <row r="46" spans="1:12" ht="13.5" thickBot="1">
      <c r="H46" s="35" t="s">
        <v>29</v>
      </c>
      <c r="I46" s="36">
        <f>SUM(I27:I43)</f>
        <v>26.07</v>
      </c>
    </row>
    <row r="47" spans="1:12" ht="13.5" thickTop="1">
      <c r="A47" s="32"/>
      <c r="H47" s="37"/>
      <c r="I47" s="38"/>
      <c r="J47" t="s">
        <v>15</v>
      </c>
    </row>
    <row r="48" spans="1:12">
      <c r="A48" s="32"/>
      <c r="F48" s="34"/>
      <c r="H48" s="39"/>
      <c r="I48" s="38"/>
    </row>
    <row r="49" spans="1:9">
      <c r="F49" s="40"/>
      <c r="G49" s="1"/>
      <c r="H49" s="41"/>
      <c r="I49" s="38"/>
    </row>
    <row r="50" spans="1:9">
      <c r="A50" t="s">
        <v>30</v>
      </c>
      <c r="F50" s="40"/>
      <c r="H50" s="41"/>
      <c r="I50" s="38"/>
    </row>
    <row r="51" spans="1:9">
      <c r="A51" s="8" t="s">
        <v>31</v>
      </c>
      <c r="F51" s="40"/>
      <c r="H51" s="38"/>
      <c r="I51" s="38"/>
    </row>
    <row r="52" spans="1:9">
      <c r="A52" s="8" t="s">
        <v>32</v>
      </c>
      <c r="B52" s="42"/>
      <c r="H52" s="41"/>
    </row>
    <row r="53" spans="1:9">
      <c r="H53" s="41"/>
    </row>
    <row r="55" spans="1:9">
      <c r="A55" s="8"/>
    </row>
  </sheetData>
  <pageMargins left="0.2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22A7E0-6085-434A-B629-AF9A9000D6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A32AD-F6D6-4128-ABCF-A6140EDAD7D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B01F9673-AD93-4A70-8809-5A21AEF064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  INVOICE </vt:lpstr>
      <vt:lpstr>'CUSTOM  INVOICE '!Print_Area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Pang</dc:creator>
  <cp:lastModifiedBy>Sanwar Hossain</cp:lastModifiedBy>
  <dcterms:created xsi:type="dcterms:W3CDTF">2026-07-28T04:03:21Z</dcterms:created>
  <dcterms:modified xsi:type="dcterms:W3CDTF">2026-09-29T06:22:20Z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