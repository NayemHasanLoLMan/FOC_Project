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icdesignersltd.sharepoint.com/sites/HKWeeklypackagesFOC/Shared Documents/Document share/10.2026/10.13/"/>
    </mc:Choice>
  </mc:AlternateContent>
  <xr:revisionPtr revIDLastSave="98" documentId="8_{5ED0F520-09A2-4CA2-94FF-2A5E46928F98}" xr6:coauthVersionLast="47" xr6:coauthVersionMax="47" xr10:uidLastSave="{66552EB1-9675-4EDB-909C-E33DAFB68A08}"/>
  <bookViews>
    <workbookView xWindow="-120" yWindow="-120" windowWidth="20730" windowHeight="11040" xr2:uid="{DBADB63F-3A70-41E3-B334-3A90DE0EAB43}"/>
  </bookViews>
  <sheets>
    <sheet name="CUSTOM  INVOICE " sheetId="1" r:id="rId1"/>
  </sheets>
  <definedNames>
    <definedName name="___UTC2" localSheetId="0" hidden="1">#REF!</definedName>
    <definedName name="___UTC2" hidden="1">#REF!</definedName>
    <definedName name="_DA120" localSheetId="0" hidden="1">#REF!</definedName>
    <definedName name="_DA120" hidden="1">#REF!</definedName>
    <definedName name="_Key1" localSheetId="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_xlnm.Print_Area" localSheetId="0">'CUSTOM  INVOICE '!$A$1:$J$57</definedName>
    <definedName name="UTC" localSheetId="0" hidden="1">#REF!</definedName>
    <definedName name="UTC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7" i="1" l="1"/>
  <c r="I50" i="1"/>
  <c r="I44" i="1"/>
  <c r="I43" i="1"/>
  <c r="I42" i="1"/>
  <c r="I41" i="1"/>
  <c r="I46" i="1"/>
  <c r="I45" i="1"/>
  <c r="I40" i="1"/>
  <c r="I39" i="1"/>
  <c r="I33" i="1"/>
  <c r="I38" i="1"/>
  <c r="I37" i="1"/>
  <c r="I36" i="1"/>
  <c r="I35" i="1"/>
  <c r="I32" i="1"/>
  <c r="I30" i="1"/>
  <c r="I29" i="1"/>
  <c r="A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J24" authorId="0" shapeId="0" xr:uid="{CA79E2C4-4F65-4511-8250-2EAC6C6E4003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sharedStrings.xml><?xml version="1.0" encoding="utf-8"?>
<sst xmlns="http://schemas.openxmlformats.org/spreadsheetml/2006/main" count="87" uniqueCount="54">
  <si>
    <t>ALPHA START LIMITED</t>
  </si>
  <si>
    <t>7/F,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</si>
  <si>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</si>
  <si>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</si>
  <si>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</si>
  <si>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</si>
  <si>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</si>
  <si>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</si>
  <si>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EJU1FOCTS</t>
  </si>
  <si>
    <t>JORDAN</t>
  </si>
  <si>
    <t>CONSIGNEE :</t>
  </si>
  <si>
    <t>EPIC DESIGNERS LIMITED JORDAN</t>
  </si>
  <si>
    <t xml:space="preserve">C/NO: </t>
  </si>
  <si>
    <r>
      <t xml:space="preserve">AD DULAYL INDUSTRIAL PARK, </t>
    </r>
    <r>
      <rPr>
        <sz val="10"/>
        <color rgb="FFFF0000"/>
        <rFont val="Arial"/>
        <family val="2"/>
      </rPr>
      <t>LANE</t>
    </r>
    <r>
      <rPr>
        <sz val="10"/>
        <rFont val="Arial"/>
        <family val="2"/>
      </rPr>
      <t xml:space="preserve"> NO. 1201,</t>
    </r>
  </si>
  <si>
    <r>
      <t xml:space="preserve">AD </t>
    </r>
    <r>
      <rPr>
        <sz val="10"/>
        <color rgb="FFFF0000"/>
        <rFont val="Arial"/>
        <family val="2"/>
      </rPr>
      <t xml:space="preserve">DULAYL </t>
    </r>
    <r>
      <rPr>
        <sz val="10"/>
        <rFont val="Arial"/>
        <family val="2"/>
      </rPr>
      <t>BASIN 5, AD DULAYL, ZARQA, JORDAN</t>
    </r>
  </si>
  <si>
    <t xml:space="preserve"> </t>
  </si>
  <si>
    <t>COUNTRY OF ULTIMATE DESTINATION :</t>
  </si>
  <si>
    <t>CUSTOMS INVOICE NO.</t>
  </si>
  <si>
    <t>TOTAL:</t>
  </si>
  <si>
    <t>PKG(S) ONLY</t>
  </si>
  <si>
    <t>GW:</t>
  </si>
  <si>
    <t>KGS</t>
  </si>
  <si>
    <t>C/NO.</t>
  </si>
  <si>
    <t>DESCRIPTION  OF  GOODS</t>
  </si>
  <si>
    <t xml:space="preserve">QUANTITY </t>
  </si>
  <si>
    <t>VALUE</t>
  </si>
  <si>
    <t>YDS</t>
  </si>
  <si>
    <t>$</t>
  </si>
  <si>
    <t>PCS</t>
  </si>
  <si>
    <t>SETS</t>
  </si>
  <si>
    <t>FABRIC SWATCH</t>
  </si>
  <si>
    <t>TOTAL VALUE:</t>
  </si>
  <si>
    <t xml:space="preserve">COUNTRY OF ORIGEN : CHINA </t>
  </si>
  <si>
    <t xml:space="preserve">SAMPLE OF NO COMMERCIAL VALUE </t>
  </si>
  <si>
    <t>INVOICE ONLY FOR CUSTOMS PURPOSE</t>
  </si>
  <si>
    <t>J01-J06</t>
  </si>
  <si>
    <t>S/5197/26</t>
  </si>
  <si>
    <t>89% POLYESTER 11% SPANDEX WOVEN FABRIC</t>
  </si>
  <si>
    <t>60% COTTON 40% POLYESTER KNIT FABRIC</t>
  </si>
  <si>
    <t>96% VISCOSE 4% SPANDEX KNIT FABRICS</t>
  </si>
  <si>
    <t>47% TENCEL 46% RECYCLED POLYESTER 7% ELASTANE WOVEN FABRICS</t>
  </si>
  <si>
    <t>77% RECYCLED POLYESTER 17% RAYON 6% SPANDEX WOVEN FABRICS</t>
  </si>
  <si>
    <t>DIE MOULD</t>
  </si>
  <si>
    <t>TRIMS CARD</t>
  </si>
  <si>
    <t xml:space="preserve"> BUTTON</t>
  </si>
  <si>
    <t>GROSS</t>
  </si>
  <si>
    <t>FABRIC CARD</t>
  </si>
  <si>
    <t xml:space="preserve">ZIPPER </t>
  </si>
  <si>
    <t xml:space="preserve">47% TENCEL 46% RECYCLED POLYESTER 7% ELASTANE KNIT SWEATPANT </t>
  </si>
  <si>
    <t>72% POLYESTER 21% RAYON 7% SPANDEX WOVEN TOPS</t>
  </si>
  <si>
    <t>LABEL</t>
  </si>
  <si>
    <t>HANGTAG</t>
  </si>
  <si>
    <t>ELASTIC</t>
  </si>
  <si>
    <t>INTERLINING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</si>
</sst>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6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9"/>
      <name val="Courier New"/>
      <family val="3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1"/>
      <name val=""/>
      <family val="1"/>
      <charset val="255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1" fillId="0" borderId="0" xfId="0" applyNumberFormat="1" applyFont="1"/>
    <xf numFmtId="1" fontId="5" fillId="0" borderId="0" xfId="0" applyNumberFormat="1" applyFont="1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quotePrefix="1" applyFont="1"/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2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/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3" fontId="0" fillId="0" borderId="0" xfId="3" applyNumberFormat="1" applyFont="1" applyAlignment="1">
      <alignment vertical="center"/>
    </xf>
    <xf numFmtId="44" fontId="0" fillId="0" borderId="0" xfId="2" applyFont="1" applyAlignment="1">
      <alignment vertical="center"/>
    </xf>
    <xf numFmtId="7" fontId="8" fillId="0" borderId="0" xfId="0" applyNumberFormat="1" applyFont="1" applyAlignment="1">
      <alignment horizontal="center"/>
    </xf>
    <xf numFmtId="0" fontId="6" fillId="0" borderId="0" xfId="0" applyFont="1"/>
    <xf numFmtId="0" fontId="0" fillId="0" borderId="0" xfId="0" quotePrefix="1" applyAlignment="1">
      <alignment horizontal="center"/>
    </xf>
    <xf numFmtId="43" fontId="0" fillId="0" borderId="0" xfId="1" applyFont="1" applyAlignment="1"/>
    <xf numFmtId="3" fontId="0" fillId="0" borderId="0" xfId="3" applyNumberFormat="1" applyFont="1"/>
    <xf numFmtId="43" fontId="0" fillId="0" borderId="0" xfId="0" applyNumberFormat="1"/>
    <xf numFmtId="3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44" fontId="6" fillId="0" borderId="1" xfId="0" applyNumberFormat="1" applyFont="1" applyBorder="1"/>
    <xf numFmtId="2" fontId="13" fillId="0" borderId="0" xfId="0" applyNumberFormat="1" applyFont="1" applyAlignment="1">
      <alignment horizontal="center"/>
    </xf>
    <xf numFmtId="7" fontId="8" fillId="0" borderId="0" xfId="0" applyNumberFormat="1" applyFont="1"/>
    <xf numFmtId="2" fontId="1" fillId="0" borderId="0" xfId="0" applyNumberFormat="1" applyFont="1" applyAlignment="1">
      <alignment horizontal="center"/>
    </xf>
    <xf numFmtId="3" fontId="1" fillId="0" borderId="0" xfId="3" applyNumberFormat="1" applyFont="1"/>
    <xf numFmtId="7" fontId="0" fillId="0" borderId="0" xfId="0" applyNumberFormat="1"/>
    <xf numFmtId="0" fontId="0" fillId="0" borderId="0" xfId="0" quotePrefix="1"/>
    <xf numFmtId="43" fontId="0" fillId="0" borderId="0" xfId="1" applyFont="1" applyBorder="1" applyAlignment="1"/>
    <xf numFmtId="44" fontId="0" fillId="0" borderId="0" xfId="2" applyFont="1" applyBorder="1" applyAlignment="1">
      <alignment vertical="center"/>
    </xf>
  </cellXfs>
  <cellStyles count="4">
    <cellStyle name="Comma" xfId="1" builtinId="3"/>
    <cellStyle name="Currency" xfId="2" builtinId="4"/>
    <cellStyle name="Normal" xfId="0" builtinId="0"/>
    <cellStyle name="Style 1" xfId="3" xr:uid="{B548721E-C6D4-403B-86E8-53D19E4B24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8CE2-60BA-42C6-B2D1-BCEE2FB1302E}">
  <dimension ref="A1:L59"/>
  <sheetViews>
    <sheetView tabSelected="1" topLeftCell="A15" zoomScale="145" zoomScaleNormal="145" zoomScaleSheetLayoutView="85" workbookViewId="0">
      <selection activeCell="E19" sqref="E19"/>
    </sheetView>
  </sheetViews>
  <sheetFormatPr defaultRowHeight="12.75"/>
  <cols>
    <col min="1" max="1" width="12.42578125" customWidth="1"/>
    <col min="2" max="2" width="10.28515625" customWidth="1"/>
    <col min="3" max="3" width="13.140625" customWidth="1"/>
    <col min="4" max="4" width="14.42578125" customWidth="1"/>
    <col min="5" max="5" width="32.5703125" customWidth="1"/>
    <col min="6" max="6" width="7.7109375" customWidth="1"/>
    <col min="7" max="7" width="6" customWidth="1"/>
    <col min="8" max="8" width="7.5703125" customWidth="1"/>
    <col min="9" max="9" width="8.85546875" customWidth="1"/>
    <col min="10" max="10" width="10.42578125" customWidth="1"/>
  </cols>
  <sheetData>
    <row r="1" spans="1:10" s="1" customFormat="1" ht="26.25">
      <c r="E1" s="2" t="s">
        <v>0</v>
      </c>
    </row>
    <row r="2" spans="1:10" s="3" customFormat="1" ht="12.75" customHeight="1">
      <c r="E2" s="4" t="s">
        <v>1</v>
      </c>
    </row>
    <row r="3" spans="1:10" s="3" customFormat="1" ht="12.75" customHeight="1">
      <c r="E3" s="4" t="s">
        <v>2</v>
      </c>
    </row>
    <row r="4" spans="1:10" s="3" customFormat="1" ht="12.75" customHeight="1">
      <c r="E4" s="4" t="s">
        <v>3</v>
      </c>
    </row>
    <row r="5" spans="1:10" s="3" customFormat="1" ht="12.75" customHeight="1">
      <c r="E5" s="4" t="s">
        <v>4</v>
      </c>
    </row>
    <row r="6" spans="1:10" s="3" customFormat="1" ht="12.75" customHeight="1">
      <c r="D6" s="5"/>
    </row>
    <row r="7" spans="1:10" ht="18">
      <c r="E7" s="6" t="s">
        <v>5</v>
      </c>
    </row>
    <row r="8" spans="1:10">
      <c r="E8" s="3"/>
    </row>
    <row r="9" spans="1:10">
      <c r="A9" t="s">
        <v>6</v>
      </c>
      <c r="C9" s="7">
        <v>46309</v>
      </c>
      <c r="F9" t="s">
        <v>7</v>
      </c>
      <c r="I9" t="s">
        <v>8</v>
      </c>
    </row>
    <row r="10" spans="1:10">
      <c r="I10" s="8" t="s">
        <v>9</v>
      </c>
    </row>
    <row r="11" spans="1:10">
      <c r="A11" t="s">
        <v>10</v>
      </c>
      <c r="C11" s="1" t="s">
        <v>11</v>
      </c>
      <c r="D11" s="9"/>
      <c r="E11" s="9"/>
      <c r="F11" s="10"/>
      <c r="I11" s="11" t="s">
        <v>12</v>
      </c>
      <c r="J11" s="12" t="s">
        <v>35</v>
      </c>
    </row>
    <row r="12" spans="1:10">
      <c r="C12" t="s">
        <v>13</v>
      </c>
      <c r="D12" s="9"/>
      <c r="E12" s="9"/>
      <c r="F12" s="10"/>
      <c r="J12" s="12"/>
    </row>
    <row r="13" spans="1:10">
      <c r="C13" t="s">
        <v>14</v>
      </c>
      <c r="D13" s="9"/>
      <c r="E13" s="9"/>
      <c r="F13" s="10"/>
    </row>
    <row r="14" spans="1:10">
      <c r="C14" t="s">
        <v>15</v>
      </c>
      <c r="E14" s="9"/>
    </row>
    <row r="15" spans="1:10">
      <c r="A15" s="13"/>
      <c r="C15" s="14"/>
      <c r="D15" s="15"/>
    </row>
    <row r="16" spans="1:10">
      <c r="A16" t="s">
        <v>16</v>
      </c>
      <c r="D16" s="16" t="s">
        <v>9</v>
      </c>
    </row>
    <row r="18" spans="1:12">
      <c r="A18" t="s">
        <v>17</v>
      </c>
      <c r="C18" s="17" t="s">
        <v>36</v>
      </c>
    </row>
    <row r="20" spans="1:12">
      <c r="C20" s="16"/>
    </row>
    <row r="21" spans="1:12">
      <c r="A21" s="3" t="s">
        <v>18</v>
      </c>
      <c r="B21" s="4">
        <v>6</v>
      </c>
      <c r="C21" s="3" t="s">
        <v>19</v>
      </c>
      <c r="D21" s="3"/>
      <c r="E21" s="18" t="s">
        <v>20</v>
      </c>
      <c r="F21" s="19">
        <v>71</v>
      </c>
      <c r="G21" s="3" t="s">
        <v>21</v>
      </c>
    </row>
    <row r="22" spans="1:12">
      <c r="A22" s="3"/>
      <c r="B22" s="4"/>
      <c r="C22" s="3"/>
      <c r="D22" s="3"/>
      <c r="E22" s="18"/>
      <c r="F22" s="19"/>
      <c r="G22" s="3"/>
    </row>
    <row r="23" spans="1:12">
      <c r="H23" s="20"/>
      <c r="I23" s="20"/>
      <c r="J23" s="20"/>
    </row>
    <row r="24" spans="1:12">
      <c r="A24" s="21" t="s">
        <v>22</v>
      </c>
      <c r="B24" s="21" t="s">
        <v>23</v>
      </c>
      <c r="F24" s="22" t="s">
        <v>21</v>
      </c>
      <c r="G24" s="21" t="s">
        <v>24</v>
      </c>
      <c r="H24" s="21"/>
      <c r="I24" s="22" t="s">
        <v>25</v>
      </c>
      <c r="J24" s="22"/>
    </row>
    <row r="25" spans="1:12">
      <c r="A25" s="21"/>
      <c r="B25" s="21"/>
      <c r="G25" s="21"/>
      <c r="H25" s="21"/>
      <c r="I25" s="23"/>
      <c r="J25" s="23"/>
    </row>
    <row r="26" spans="1:12">
      <c r="A26" s="20" t="s">
        <v>15</v>
      </c>
      <c r="B26" s="24"/>
    </row>
    <row r="27" spans="1:12" ht="18" customHeight="1">
      <c r="A27" s="25" t="str">
        <f>+J11</f>
        <v>J01-J06</v>
      </c>
      <c r="B27" s="26" t="s">
        <v>37</v>
      </c>
      <c r="C27" s="26"/>
      <c r="D27" s="26"/>
      <c r="F27" s="27">
        <v>13</v>
      </c>
      <c r="G27" s="28">
        <v>30</v>
      </c>
      <c r="H27" s="26" t="s">
        <v>26</v>
      </c>
      <c r="I27" s="29">
        <f>SUM(G27*$K$27)</f>
        <v>6</v>
      </c>
      <c r="J27" s="30"/>
      <c r="K27">
        <v>0.2</v>
      </c>
      <c r="L27" s="31" t="s">
        <v>27</v>
      </c>
    </row>
    <row r="28" spans="1:12" ht="15.95" customHeight="1">
      <c r="A28" s="25"/>
      <c r="B28" s="26"/>
      <c r="C28" s="26"/>
      <c r="D28" s="26"/>
      <c r="F28" s="27"/>
      <c r="G28" s="28"/>
      <c r="H28" s="26"/>
      <c r="I28" s="29"/>
      <c r="J28" s="30"/>
      <c r="L28" s="31"/>
    </row>
    <row r="29" spans="1:12" ht="15.95" customHeight="1">
      <c r="A29" s="25"/>
      <c r="B29" s="26" t="s">
        <v>38</v>
      </c>
      <c r="C29" s="26"/>
      <c r="D29" s="26"/>
      <c r="F29" s="27">
        <v>7</v>
      </c>
      <c r="G29" s="28">
        <v>20</v>
      </c>
      <c r="H29" s="26" t="s">
        <v>26</v>
      </c>
      <c r="I29" s="29">
        <f>SUM(G29*$K$29)</f>
        <v>4</v>
      </c>
      <c r="J29" s="30"/>
      <c r="K29">
        <v>0.2</v>
      </c>
      <c r="L29" s="31" t="s">
        <v>27</v>
      </c>
    </row>
    <row r="30" spans="1:12" ht="15.95" customHeight="1">
      <c r="A30" s="25"/>
      <c r="B30" s="26" t="s">
        <v>39</v>
      </c>
      <c r="C30" s="26"/>
      <c r="D30" s="26"/>
      <c r="F30" s="27">
        <v>5</v>
      </c>
      <c r="G30" s="28">
        <v>10</v>
      </c>
      <c r="H30" s="26" t="s">
        <v>26</v>
      </c>
      <c r="I30" s="29">
        <f>SUM(G30*$K$30)</f>
        <v>2</v>
      </c>
      <c r="J30" s="30"/>
      <c r="K30">
        <v>0.2</v>
      </c>
      <c r="L30" s="31" t="s">
        <v>27</v>
      </c>
    </row>
    <row r="31" spans="1:12" ht="15.95" customHeight="1">
      <c r="A31" s="25"/>
      <c r="B31" s="26"/>
      <c r="C31" s="26"/>
      <c r="D31" s="26"/>
      <c r="F31" s="27"/>
      <c r="G31" s="28"/>
      <c r="H31" s="26"/>
      <c r="I31" s="29"/>
      <c r="J31" s="30"/>
      <c r="L31" s="31"/>
    </row>
    <row r="32" spans="1:12" ht="15.95" customHeight="1">
      <c r="A32" s="25"/>
      <c r="B32" s="26" t="s">
        <v>40</v>
      </c>
      <c r="C32" s="26"/>
      <c r="D32" s="26"/>
      <c r="F32" s="27">
        <v>20</v>
      </c>
      <c r="G32" s="28">
        <v>50</v>
      </c>
      <c r="H32" s="26" t="s">
        <v>26</v>
      </c>
      <c r="I32" s="29">
        <f>SUM(G32*$K$32)</f>
        <v>10</v>
      </c>
      <c r="J32" s="30"/>
      <c r="K32">
        <v>0.2</v>
      </c>
      <c r="L32" s="31" t="s">
        <v>27</v>
      </c>
    </row>
    <row r="33" spans="1:12" ht="15.95" customHeight="1">
      <c r="A33" s="25"/>
      <c r="B33" s="26" t="s">
        <v>41</v>
      </c>
      <c r="C33" s="26"/>
      <c r="D33" s="26"/>
      <c r="F33" s="28">
        <v>18</v>
      </c>
      <c r="G33" s="26">
        <v>55</v>
      </c>
      <c r="H33" s="26" t="s">
        <v>26</v>
      </c>
      <c r="I33" s="29">
        <f>SUM(G33*$K$32)</f>
        <v>11</v>
      </c>
      <c r="J33" s="30"/>
      <c r="K33">
        <v>0.2</v>
      </c>
      <c r="L33" s="31" t="s">
        <v>27</v>
      </c>
    </row>
    <row r="34" spans="1:12" ht="15.95" customHeight="1">
      <c r="A34" s="25"/>
      <c r="B34" s="26"/>
      <c r="C34" s="26"/>
      <c r="D34" s="26"/>
      <c r="F34" s="28"/>
      <c r="G34" s="26"/>
      <c r="H34" s="29"/>
      <c r="I34" s="30"/>
      <c r="K34" s="31"/>
    </row>
    <row r="35" spans="1:12">
      <c r="A35" s="32"/>
      <c r="B35" t="s">
        <v>42</v>
      </c>
      <c r="F35" s="33">
        <v>0.5</v>
      </c>
      <c r="G35" s="34">
        <v>2</v>
      </c>
      <c r="H35" t="s">
        <v>28</v>
      </c>
      <c r="I35" s="29">
        <f>SUM(G35*$K$35)</f>
        <v>0.04</v>
      </c>
      <c r="J35" s="30"/>
      <c r="K35">
        <v>0.02</v>
      </c>
      <c r="L35" s="31" t="s">
        <v>27</v>
      </c>
    </row>
    <row r="36" spans="1:12">
      <c r="A36" s="32"/>
      <c r="B36" t="s">
        <v>43</v>
      </c>
      <c r="F36" s="33">
        <v>0.5</v>
      </c>
      <c r="G36" s="34">
        <v>18</v>
      </c>
      <c r="H36" t="s">
        <v>28</v>
      </c>
      <c r="I36" s="29">
        <f>SUM(G36*$K$36)</f>
        <v>0.18</v>
      </c>
      <c r="J36" s="30"/>
      <c r="K36">
        <v>0.01</v>
      </c>
      <c r="L36" s="31" t="s">
        <v>27</v>
      </c>
    </row>
    <row r="37" spans="1:12">
      <c r="A37" s="32"/>
      <c r="B37" s="26" t="s">
        <v>44</v>
      </c>
      <c r="F37" s="33">
        <v>1</v>
      </c>
      <c r="G37" s="34">
        <v>1</v>
      </c>
      <c r="H37" t="s">
        <v>45</v>
      </c>
      <c r="I37" s="29">
        <f>SUM(G37*$K$37)</f>
        <v>0.01</v>
      </c>
      <c r="J37" s="30"/>
      <c r="K37">
        <v>0.01</v>
      </c>
      <c r="L37" s="31" t="s">
        <v>27</v>
      </c>
    </row>
    <row r="38" spans="1:12">
      <c r="A38" s="32"/>
      <c r="B38" s="26" t="s">
        <v>30</v>
      </c>
      <c r="F38" s="33">
        <v>2</v>
      </c>
      <c r="G38" s="34">
        <v>56</v>
      </c>
      <c r="H38" t="s">
        <v>29</v>
      </c>
      <c r="I38" s="29">
        <f t="shared" ref="I38:I46" si="0">SUM(G38*$K$38)</f>
        <v>0.56000000000000005</v>
      </c>
      <c r="J38" s="30"/>
      <c r="K38">
        <v>0.01</v>
      </c>
      <c r="L38" s="31" t="s">
        <v>27</v>
      </c>
    </row>
    <row r="39" spans="1:12">
      <c r="A39" s="32"/>
      <c r="B39" s="26" t="s">
        <v>46</v>
      </c>
      <c r="F39" s="33">
        <v>0.5</v>
      </c>
      <c r="G39" s="34">
        <v>1</v>
      </c>
      <c r="H39" t="s">
        <v>28</v>
      </c>
      <c r="I39" s="29">
        <f t="shared" si="0"/>
        <v>0.01</v>
      </c>
      <c r="J39" s="30"/>
      <c r="K39">
        <v>0.01</v>
      </c>
      <c r="L39" s="31" t="s">
        <v>27</v>
      </c>
    </row>
    <row r="40" spans="1:12">
      <c r="A40" s="32"/>
      <c r="B40" s="26" t="s">
        <v>47</v>
      </c>
      <c r="F40" s="33">
        <v>0.5</v>
      </c>
      <c r="G40" s="34">
        <v>5</v>
      </c>
      <c r="H40" t="s">
        <v>28</v>
      </c>
      <c r="I40" s="29">
        <f t="shared" si="0"/>
        <v>0.05</v>
      </c>
      <c r="J40" s="30"/>
      <c r="K40">
        <v>0.01</v>
      </c>
      <c r="L40" s="31" t="s">
        <v>27</v>
      </c>
    </row>
    <row r="41" spans="1:12">
      <c r="A41" s="32"/>
      <c r="B41" s="26" t="s">
        <v>50</v>
      </c>
      <c r="F41" s="33">
        <v>0.5</v>
      </c>
      <c r="G41" s="34">
        <v>1</v>
      </c>
      <c r="H41" t="s">
        <v>28</v>
      </c>
      <c r="I41" s="29">
        <f t="shared" si="0"/>
        <v>0.01</v>
      </c>
      <c r="J41" s="30"/>
      <c r="K41">
        <v>0.01</v>
      </c>
      <c r="L41" s="31" t="s">
        <v>27</v>
      </c>
    </row>
    <row r="42" spans="1:12">
      <c r="A42" s="32"/>
      <c r="B42" s="26" t="s">
        <v>51</v>
      </c>
      <c r="F42" s="33">
        <v>0.5</v>
      </c>
      <c r="G42" s="34">
        <v>1</v>
      </c>
      <c r="H42" t="s">
        <v>28</v>
      </c>
      <c r="I42" s="29">
        <f t="shared" si="0"/>
        <v>0.01</v>
      </c>
      <c r="J42" s="30"/>
      <c r="K42">
        <v>0.01</v>
      </c>
      <c r="L42" s="31" t="s">
        <v>27</v>
      </c>
    </row>
    <row r="43" spans="1:12">
      <c r="A43" s="32"/>
      <c r="B43" s="26" t="s">
        <v>52</v>
      </c>
      <c r="F43" s="33">
        <v>0.5</v>
      </c>
      <c r="G43" s="34">
        <v>1</v>
      </c>
      <c r="H43" t="s">
        <v>28</v>
      </c>
      <c r="I43" s="29">
        <f t="shared" si="0"/>
        <v>0.01</v>
      </c>
      <c r="J43" s="30"/>
      <c r="K43">
        <v>0.01</v>
      </c>
      <c r="L43" s="31" t="s">
        <v>27</v>
      </c>
    </row>
    <row r="44" spans="1:12">
      <c r="A44" s="32"/>
      <c r="B44" s="26" t="s">
        <v>53</v>
      </c>
      <c r="F44" s="33">
        <v>0.5</v>
      </c>
      <c r="G44" s="34">
        <v>2</v>
      </c>
      <c r="H44" t="s">
        <v>28</v>
      </c>
      <c r="I44" s="29">
        <f t="shared" si="0"/>
        <v>0.02</v>
      </c>
      <c r="J44" s="30"/>
      <c r="K44">
        <v>0.01</v>
      </c>
      <c r="L44" s="31" t="s">
        <v>27</v>
      </c>
    </row>
    <row r="45" spans="1:12">
      <c r="A45" s="32"/>
      <c r="B45" s="26" t="s">
        <v>48</v>
      </c>
      <c r="F45" s="33">
        <v>0.5</v>
      </c>
      <c r="G45" s="34">
        <v>2</v>
      </c>
      <c r="H45" t="s">
        <v>28</v>
      </c>
      <c r="I45" s="29">
        <f t="shared" si="0"/>
        <v>0.02</v>
      </c>
      <c r="J45" s="30"/>
      <c r="K45">
        <v>0.01</v>
      </c>
      <c r="L45" s="31" t="s">
        <v>27</v>
      </c>
    </row>
    <row r="46" spans="1:12">
      <c r="A46" s="32"/>
      <c r="B46" s="26" t="s">
        <v>49</v>
      </c>
      <c r="F46" s="33">
        <v>0.5</v>
      </c>
      <c r="G46" s="34">
        <v>4</v>
      </c>
      <c r="H46" t="s">
        <v>28</v>
      </c>
      <c r="I46" s="29">
        <f t="shared" si="0"/>
        <v>0.04</v>
      </c>
      <c r="J46" s="30"/>
      <c r="K46">
        <v>0.01</v>
      </c>
      <c r="L46" s="31" t="s">
        <v>27</v>
      </c>
    </row>
    <row r="47" spans="1:12">
      <c r="A47" s="32"/>
      <c r="B47" s="26"/>
      <c r="F47" s="33"/>
      <c r="G47" s="34"/>
      <c r="I47" s="29"/>
      <c r="J47" s="30"/>
      <c r="L47" s="31"/>
    </row>
    <row r="48" spans="1:12">
      <c r="A48" s="32"/>
      <c r="B48" s="26"/>
      <c r="F48" s="46"/>
      <c r="G48" s="34"/>
      <c r="I48" s="47"/>
      <c r="J48" s="30"/>
      <c r="L48" s="31"/>
    </row>
    <row r="49" spans="1:10">
      <c r="F49" s="35"/>
      <c r="G49" s="36"/>
      <c r="I49" s="37"/>
    </row>
    <row r="50" spans="1:10" ht="13.5" thickBot="1">
      <c r="H50" s="38" t="s">
        <v>31</v>
      </c>
      <c r="I50" s="39">
        <f>SUM(I27:I46)</f>
        <v>33.959999999999994</v>
      </c>
    </row>
    <row r="51" spans="1:10" ht="13.5" thickTop="1">
      <c r="A51" s="32"/>
      <c r="H51" s="40"/>
      <c r="I51" s="41"/>
      <c r="J51" t="s">
        <v>15</v>
      </c>
    </row>
    <row r="52" spans="1:10">
      <c r="A52" s="32"/>
      <c r="F52" s="34"/>
      <c r="H52" s="42"/>
      <c r="I52" s="41"/>
    </row>
    <row r="53" spans="1:10">
      <c r="F53" s="43"/>
      <c r="G53" s="1"/>
      <c r="H53" s="44"/>
      <c r="I53" s="41"/>
    </row>
    <row r="54" spans="1:10">
      <c r="A54" t="s">
        <v>32</v>
      </c>
      <c r="F54" s="43"/>
      <c r="H54" s="44"/>
      <c r="I54" s="41"/>
    </row>
    <row r="55" spans="1:10">
      <c r="A55" s="8" t="s">
        <v>33</v>
      </c>
      <c r="F55" s="43"/>
      <c r="H55" s="41"/>
      <c r="I55" s="41"/>
    </row>
    <row r="56" spans="1:10">
      <c r="A56" s="8" t="s">
        <v>34</v>
      </c>
      <c r="B56" s="45"/>
      <c r="H56" s="44"/>
    </row>
    <row r="57" spans="1:10">
      <c r="H57" s="44"/>
    </row>
    <row r="59" spans="1:10">
      <c r="A59" s="8"/>
    </row>
  </sheetData>
  <pageMargins left="0.24" right="0" top="0.5" bottom="1" header="0.37" footer="0.5"/>
  <pageSetup paperSize="9" orientation="portrait" blackAndWhite="1" r:id="rId1"/>
  <headerFooter alignWithMargins="0">
    <oddHeader xml:space="preserve">&amp;L
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91EBDB-E575-4609-BC21-C0A8DB6829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243226-f4e4-4b1c-b888-a08d37107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A32AD-F6D6-4128-ABCF-A6140EDAD7DD}">
  <ds:schemaRefs>
    <ds:schemaRef ds:uri="http://schemas.microsoft.com/office/2006/metadata/properties"/>
    <ds:schemaRef ds:uri="http://schemas.microsoft.com/office/infopath/2007/PartnerControls"/>
    <ds:schemaRef ds:uri="f96d36f8-b599-4735-87f8-53cdb136e10b"/>
    <ds:schemaRef ds:uri="d6a7190a-fc28-49aa-9a49-4f406199a3e1"/>
  </ds:schemaRefs>
</ds:datastoreItem>
</file>

<file path=customXml/itemProps3.xml><?xml version="1.0" encoding="utf-8"?>
<ds:datastoreItem xmlns:ds="http://schemas.openxmlformats.org/officeDocument/2006/customXml" ds:itemID="{5522A7E0-6085-434A-B629-AF9A9000D6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  INVOICE </vt:lpstr>
      <vt:lpstr>'CUSTOM  INVOICE '!Print_Area</vt:lpstr>
    </vt:vector>
  </TitlesOfParts>
  <Company>Epic Designers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Pang</dc:creator>
  <cp:lastModifiedBy>Sanwar Hossain</cp:lastModifiedBy>
  <dcterms:created xsi:type="dcterms:W3CDTF">2026-07-28T04:03:21Z</dcterms:created>
  <dcterms:modified xsi:type="dcterms:W3CDTF">2026-10-13T10:52:46Z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